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D:\Assessment\IshaGupta_4084_ATL_To_Lead\"/>
    </mc:Choice>
  </mc:AlternateContent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0" yWindow="60" windowWidth="14376" windowHeight="7128" tabRatio="342" firstSheet="1" activeTab="1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8"/>
  <definedNames>
    <definedName name="ACTIVITY_RANGE">Estimation!$336:$336</definedName>
    <definedName name="AS_DEV_EFFORT">Estimation!$P$226</definedName>
    <definedName name="AS_DURATION_EFFORT">Estimation!$P$227</definedName>
    <definedName name="AS_MANUAL_DURATION_EFFORT">Estimation!$U$228</definedName>
    <definedName name="AUTOMATED_END_DATE">Estimation!$P$202</definedName>
    <definedName name="BUFFER_TYPES_LIST">Lists!$B$45:$B$48</definedName>
    <definedName name="BUFFERS_BY_TYPE">Estimation!$N$261:$O$263</definedName>
    <definedName name="CHOSEN_CURRENCY">Estimation!$O$220</definedName>
    <definedName name="CLIENT_NAME">Estimation!$O$213</definedName>
    <definedName name="COMPACT_WBS">Estimation!$L$10:$T$159</definedName>
    <definedName name="COPY_TYPE">Estimation!$R$9</definedName>
    <definedName name="CURRENCIES_LIST">Lists!$B$27:$B$29</definedName>
    <definedName name="CUSTOM_PERCENT">Estimation!$T$5</definedName>
    <definedName name="DESIGN_COST">Estimation!$W$188</definedName>
    <definedName name="DESIGN_EFFORT">Estimation!$O$188</definedName>
    <definedName name="DESIGN_RANGE">Estimation!$L$32:$AC$67</definedName>
    <definedName name="DESIGN_TA_COUNT">Estimation!$R$198</definedName>
    <definedName name="DESIGN_TA_PERCENT">Estimation!$R$188</definedName>
    <definedName name="DEV_COST">Estimation!$W$189</definedName>
    <definedName name="DEV_DEV_COUNT">Estimation!$T$199</definedName>
    <definedName name="DEV_DEV_PERCENT">Estimation!$T$189</definedName>
    <definedName name="DEV_EFFORT">Estimation!$O$189</definedName>
    <definedName name="DEV_RANGE">Estimation!$L$68:$AC$101</definedName>
    <definedName name="DURATION">Estimation!$P$203</definedName>
    <definedName name="EXTRA_FOR_H">Estimation!$O$248</definedName>
    <definedName name="EXTRAS_ARRAY">Estimation!$N$253:$O$258</definedName>
    <definedName name="EXTRAS_LIST">Estimation!$N$253:$N$258</definedName>
    <definedName name="FBS">Estimation!$L$161</definedName>
    <definedName name="FBS_FORMAT">Estimation!$S$166</definedName>
    <definedName name="FBS_INSERT_AT">Estimation!$M$176:$P$176</definedName>
    <definedName name="FBS_LINK">Estimation!$T$166</definedName>
    <definedName name="FBS_RANGE">Estimation!$M$167:$P$177</definedName>
    <definedName name="FULL_WBS">Estimation!$L$10:$AC$159</definedName>
    <definedName name="INCLUDE_OPTIONALS_LIST">Lists!$B$58:$B$59</definedName>
    <definedName name="IS_KEY_OPP">Estimation!$O$218</definedName>
    <definedName name="LESS_FOR_L">Estimation!$O$249</definedName>
    <definedName name="MANUAL_DURATION">Estimation!$P$204</definedName>
    <definedName name="MANUAL_END_DATE">Schedule!$L$1</definedName>
    <definedName name="MAX_EFFORT_PERCENT">Estimation!$P$223</definedName>
    <definedName name="MIN_EFFORT_PERCENT">Estimation!$O$223</definedName>
    <definedName name="MODULE_RANGE">Estimation!$340:$340</definedName>
    <definedName name="NOT_IN_COMPACT">Estimation!$O:$W</definedName>
    <definedName name="OTHER_COST">Estimation!$W$192</definedName>
    <definedName name="OTHER_EFFORT">Estimation!$O$192</definedName>
    <definedName name="OTHER_TL_COUNT">Estimation!$S$202</definedName>
    <definedName name="OTHER_TL_PERCENT">Estimation!$S$192</definedName>
    <definedName name="OTHERS_RANGE">Estimation!$L$152:$AC$158</definedName>
    <definedName name="PLATFORM">Estimation!$O$215</definedName>
    <definedName name="PLATFORMS_LIST">Lists!$B$38:$B$42</definedName>
    <definedName name="_xlnm.Print_Area" localSheetId="1">Estimation!$A$1:$AC$209</definedName>
    <definedName name="PROJECT_NAME">Estimation!$O$214</definedName>
    <definedName name="PROJECT_TYPE">Estimation!$O$216</definedName>
    <definedName name="PROJECT_TYPES_LIST">Lists!$B$32:$B$35</definedName>
    <definedName name="QA_COST">Estimation!$W$190</definedName>
    <definedName name="QA_EFFORT">Estimation!$O$190</definedName>
    <definedName name="QA_RANGE">Estimation!$L$102:$AC$128</definedName>
    <definedName name="REGIONS_LIST">Lists!$B$19:$B$24</definedName>
    <definedName name="REQ_BA_COUNT">Estimation!$Q$197</definedName>
    <definedName name="REQ_BA_PERCENT">Estimation!$Q$187</definedName>
    <definedName name="REQ_COST">Estimation!$W$187</definedName>
    <definedName name="REQ_EFFORT">Estimation!$O$187</definedName>
    <definedName name="REQ_RANGE">Estimation!$L$12:$AC$31</definedName>
    <definedName name="RFP_NAME">Estimation!$O$217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Estimation!$P$253:$P$254</definedName>
    <definedName name="SECTION_RANGE">Estimation!$332:$338</definedName>
    <definedName name="START_DATE">Estimation!$O$197</definedName>
    <definedName name="TASK_RANGE">Estimation!$334:$337</definedName>
    <definedName name="TEMPLATE_NAME">Estimation!$G$3</definedName>
    <definedName name="TEMPLATE_SECTION">Estimation!$331:$341</definedName>
    <definedName name="TEMPLATE_VER">Estimation!$K$3</definedName>
    <definedName name="TESTING_QA_COUNT">Estimation!$U$200</definedName>
    <definedName name="TESTING_QA_PERCENT">Estimation!$U$190</definedName>
    <definedName name="TOTAL_COST">Estimation!$W$193</definedName>
    <definedName name="TOTAL_EFFORT">Estimation!$O$193</definedName>
    <definedName name="Total_FRs">Estimation!$Q$21</definedName>
    <definedName name="Total_Screens">Estimation!$P$28</definedName>
    <definedName name="Total_Test_Cases">Estimation!$P$63</definedName>
    <definedName name="Total_Use_Cases">Estimation!$P$26</definedName>
    <definedName name="TOTAL_WEEKS">Estimation!$P$193</definedName>
    <definedName name="UAT_COST">Estimation!$W$191</definedName>
    <definedName name="UAT_DEV_COUNT">Estimation!$T$201</definedName>
    <definedName name="UAT_DEV_PERCENT">Estimation!$T$191</definedName>
    <definedName name="UAT_EFFORT">Estimation!$O$191</definedName>
    <definedName name="UAT_RANGE">Estimation!$L$129:$AC$151</definedName>
    <definedName name="YES_NO_LIST">Lists!$B$3:$B$5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90" i="2" l="1"/>
  <c r="AA90" i="2" s="1"/>
  <c r="S90" i="2" s="1"/>
  <c r="AD90" i="2" s="1"/>
  <c r="Y42" i="2"/>
  <c r="AA42" i="2" s="1"/>
  <c r="X26" i="2" l="1"/>
  <c r="R185" i="2" l="1"/>
  <c r="S185" i="2"/>
  <c r="T185" i="2"/>
  <c r="U185" i="2"/>
  <c r="V185" i="2"/>
  <c r="Q185" i="2"/>
  <c r="S340" i="2"/>
  <c r="AD154" i="2" l="1"/>
  <c r="P26" i="2" l="1"/>
  <c r="Q26" i="2"/>
  <c r="P64" i="2" l="1"/>
  <c r="Q64" i="2"/>
  <c r="P63" i="2"/>
  <c r="Q63" i="2"/>
  <c r="Y147" i="2" l="1"/>
  <c r="AA147" i="2" s="1"/>
  <c r="S147" i="2" s="1"/>
  <c r="AD147" i="2" s="1"/>
  <c r="Y148" i="2"/>
  <c r="AA148" i="2" s="1"/>
  <c r="S148" i="2" s="1"/>
  <c r="AD148" i="2" s="1"/>
  <c r="Y149" i="2"/>
  <c r="AA149" i="2" s="1"/>
  <c r="S149" i="2" s="1"/>
  <c r="AD149" i="2" s="1"/>
  <c r="Y146" i="2"/>
  <c r="AA146" i="2" s="1"/>
  <c r="S146" i="2" s="1"/>
  <c r="AD144" i="2"/>
  <c r="Y142" i="2"/>
  <c r="AA142" i="2" s="1"/>
  <c r="S142" i="2" s="1"/>
  <c r="AD140" i="2"/>
  <c r="Y138" i="2"/>
  <c r="AA138" i="2" s="1"/>
  <c r="S138" i="2" s="1"/>
  <c r="AD136" i="2"/>
  <c r="Y134" i="2"/>
  <c r="AA134" i="2" s="1"/>
  <c r="S134" i="2" s="1"/>
  <c r="AD134" i="2" s="1"/>
  <c r="Y133" i="2"/>
  <c r="AA133" i="2" s="1"/>
  <c r="S133" i="2" s="1"/>
  <c r="AD131" i="2"/>
  <c r="Y125" i="2"/>
  <c r="AA125" i="2" s="1"/>
  <c r="S125" i="2" s="1"/>
  <c r="AD123" i="2"/>
  <c r="Y119" i="2"/>
  <c r="AA119" i="2" s="1"/>
  <c r="S119" i="2" s="1"/>
  <c r="AD119" i="2" s="1"/>
  <c r="Y120" i="2"/>
  <c r="AA120" i="2" s="1"/>
  <c r="S120" i="2" s="1"/>
  <c r="AD120" i="2" s="1"/>
  <c r="Y121" i="2"/>
  <c r="AA121" i="2" s="1"/>
  <c r="S121" i="2" s="1"/>
  <c r="AD121" i="2" s="1"/>
  <c r="Y118" i="2"/>
  <c r="AA118" i="2" s="1"/>
  <c r="S118" i="2" s="1"/>
  <c r="AD116" i="2"/>
  <c r="Y113" i="2"/>
  <c r="AA113" i="2" s="1"/>
  <c r="S113" i="2" s="1"/>
  <c r="AD113" i="2" s="1"/>
  <c r="Y114" i="2"/>
  <c r="AA114" i="2" s="1"/>
  <c r="S114" i="2" s="1"/>
  <c r="AD114" i="2" s="1"/>
  <c r="Y112" i="2"/>
  <c r="AA112" i="2" s="1"/>
  <c r="S112" i="2" s="1"/>
  <c r="AD112" i="2" s="1"/>
  <c r="Y111" i="2"/>
  <c r="AA111" i="2" s="1"/>
  <c r="S111" i="2" s="1"/>
  <c r="AD109" i="2"/>
  <c r="Y107" i="2"/>
  <c r="AA107" i="2" s="1"/>
  <c r="S107" i="2" s="1"/>
  <c r="AD107" i="2" s="1"/>
  <c r="Y106" i="2"/>
  <c r="AA106" i="2" s="1"/>
  <c r="S106" i="2" s="1"/>
  <c r="AD104" i="2"/>
  <c r="Y99" i="2"/>
  <c r="AA99" i="2" s="1"/>
  <c r="S99" i="2" s="1"/>
  <c r="AD97" i="2"/>
  <c r="AD92" i="2"/>
  <c r="Y89" i="2"/>
  <c r="AA89" i="2" s="1"/>
  <c r="S89" i="2" s="1"/>
  <c r="AD89" i="2" s="1"/>
  <c r="Y80" i="2"/>
  <c r="AA80" i="2" s="1"/>
  <c r="S80" i="2" s="1"/>
  <c r="AD80" i="2" s="1"/>
  <c r="Y81" i="2"/>
  <c r="AA81" i="2" s="1"/>
  <c r="S81" i="2" s="1"/>
  <c r="AD81" i="2" s="1"/>
  <c r="Y82" i="2"/>
  <c r="AA82" i="2" s="1"/>
  <c r="S82" i="2" s="1"/>
  <c r="AD82" i="2" s="1"/>
  <c r="Y83" i="2"/>
  <c r="AA83" i="2" s="1"/>
  <c r="S83" i="2" s="1"/>
  <c r="AD83" i="2" s="1"/>
  <c r="Y73" i="2"/>
  <c r="AA73" i="2" s="1"/>
  <c r="S73" i="2" s="1"/>
  <c r="AD73" i="2" s="1"/>
  <c r="Y74" i="2"/>
  <c r="AA74" i="2" s="1"/>
  <c r="S74" i="2" s="1"/>
  <c r="AD74" i="2" s="1"/>
  <c r="Y75" i="2"/>
  <c r="AA75" i="2" s="1"/>
  <c r="S75" i="2" s="1"/>
  <c r="AD75" i="2" s="1"/>
  <c r="Y65" i="2"/>
  <c r="AA65" i="2" s="1"/>
  <c r="S65" i="2" s="1"/>
  <c r="AD65" i="2" s="1"/>
  <c r="Y64" i="2"/>
  <c r="AA64" i="2" s="1"/>
  <c r="S64" i="2" s="1"/>
  <c r="AD64" i="2" s="1"/>
  <c r="Y63" i="2"/>
  <c r="AA63" i="2" s="1"/>
  <c r="S63" i="2" s="1"/>
  <c r="AD63" i="2" s="1"/>
  <c r="Y54" i="2"/>
  <c r="AA54" i="2" s="1"/>
  <c r="Y55" i="2"/>
  <c r="AA55" i="2" s="1"/>
  <c r="S55" i="2" s="1"/>
  <c r="AD55" i="2" s="1"/>
  <c r="Y56" i="2"/>
  <c r="AA56" i="2" s="1"/>
  <c r="Y57" i="2"/>
  <c r="AA57" i="2" s="1"/>
  <c r="S57" i="2" s="1"/>
  <c r="AD57" i="2" s="1"/>
  <c r="Y58" i="2"/>
  <c r="AA58" i="2" s="1"/>
  <c r="Y49" i="2"/>
  <c r="AA49" i="2" s="1"/>
  <c r="Y48" i="2"/>
  <c r="AA48" i="2" s="1"/>
  <c r="Y47" i="2"/>
  <c r="AA47" i="2" s="1"/>
  <c r="Y37" i="2"/>
  <c r="AA37" i="2" s="1"/>
  <c r="Y62" i="2"/>
  <c r="AA62" i="2" s="1"/>
  <c r="S62" i="2" s="1"/>
  <c r="AD60" i="2"/>
  <c r="Y53" i="2"/>
  <c r="AA53" i="2" s="1"/>
  <c r="AD51" i="2"/>
  <c r="Y46" i="2"/>
  <c r="AA46" i="2" s="1"/>
  <c r="AD44" i="2"/>
  <c r="Y41" i="2"/>
  <c r="AA41" i="2" s="1"/>
  <c r="AD39" i="2"/>
  <c r="Y29" i="2"/>
  <c r="AA29" i="2" s="1"/>
  <c r="S29" i="2" s="1"/>
  <c r="AD29" i="2" s="1"/>
  <c r="Y28" i="2"/>
  <c r="AA28" i="2" s="1"/>
  <c r="S28" i="2" s="1"/>
  <c r="AD28" i="2" s="1"/>
  <c r="Y27" i="2"/>
  <c r="AA27" i="2" s="1"/>
  <c r="S27" i="2" s="1"/>
  <c r="AD27" i="2" s="1"/>
  <c r="Y26" i="2"/>
  <c r="AA26" i="2" s="1"/>
  <c r="S26" i="2" s="1"/>
  <c r="AD24" i="2"/>
  <c r="Y22" i="2"/>
  <c r="AA22" i="2" s="1"/>
  <c r="S22" i="2" s="1"/>
  <c r="AD22" i="2" s="1"/>
  <c r="Y21" i="2"/>
  <c r="AA21" i="2" s="1"/>
  <c r="S21" i="2" s="1"/>
  <c r="AD19" i="2"/>
  <c r="AD146" i="2" l="1"/>
  <c r="T144" i="2"/>
  <c r="AD142" i="2"/>
  <c r="AD138" i="2"/>
  <c r="AD133" i="2"/>
  <c r="T131" i="2"/>
  <c r="AD125" i="2"/>
  <c r="AD118" i="2"/>
  <c r="T116" i="2"/>
  <c r="AD111" i="2"/>
  <c r="T109" i="2"/>
  <c r="AD106" i="2"/>
  <c r="T104" i="2"/>
  <c r="AD99" i="2"/>
  <c r="T97" i="2"/>
  <c r="AD62" i="2"/>
  <c r="T60" i="2"/>
  <c r="AD26" i="2"/>
  <c r="T24" i="2"/>
  <c r="AD21" i="2"/>
  <c r="T19" i="2"/>
  <c r="AD85" i="2" l="1"/>
  <c r="Y79" i="2"/>
  <c r="AA79" i="2" s="1"/>
  <c r="S79" i="2" s="1"/>
  <c r="AD77" i="2"/>
  <c r="Y88" i="2"/>
  <c r="AA88" i="2" s="1"/>
  <c r="S88" i="2" s="1"/>
  <c r="AD86" i="2"/>
  <c r="Y95" i="2"/>
  <c r="AA95" i="2" s="1"/>
  <c r="AD93" i="2"/>
  <c r="Y72" i="2"/>
  <c r="AA72" i="2" s="1"/>
  <c r="S72" i="2" s="1"/>
  <c r="AD70" i="2"/>
  <c r="AD79" i="2" l="1"/>
  <c r="T77" i="2"/>
  <c r="AD88" i="2"/>
  <c r="T86" i="2"/>
  <c r="T70" i="2"/>
  <c r="AD72" i="2"/>
  <c r="S85" i="2"/>
  <c r="Y36" i="2" l="1"/>
  <c r="AA36" i="2" s="1"/>
  <c r="AD34" i="2"/>
  <c r="Y17" i="2"/>
  <c r="AA17" i="2" s="1"/>
  <c r="Y16" i="2"/>
  <c r="AA16" i="2" s="1"/>
  <c r="S16" i="2" s="1"/>
  <c r="AD14" i="2"/>
  <c r="L14" i="2"/>
  <c r="L15" i="2" l="1"/>
  <c r="AD16" i="2"/>
  <c r="L19" i="2"/>
  <c r="L20" i="2" l="1"/>
  <c r="M16" i="2"/>
  <c r="M17" i="2" s="1"/>
  <c r="B192" i="2"/>
  <c r="B191" i="2"/>
  <c r="B190" i="2"/>
  <c r="B189" i="2"/>
  <c r="B188" i="2"/>
  <c r="B187" i="2"/>
  <c r="AD340" i="2"/>
  <c r="AD334" i="2"/>
  <c r="L24" i="2"/>
  <c r="L25" i="2" l="1"/>
  <c r="M21" i="2"/>
  <c r="M22" i="2" s="1"/>
  <c r="P166" i="2"/>
  <c r="L34" i="2"/>
  <c r="L35" i="2" l="1"/>
  <c r="M26" i="2"/>
  <c r="M27" i="2" s="1"/>
  <c r="M28" i="2" s="1"/>
  <c r="M29" i="2" s="1"/>
  <c r="B2" i="6"/>
  <c r="B2" i="8"/>
  <c r="AB210" i="2"/>
  <c r="L39" i="2"/>
  <c r="L40" i="2" l="1"/>
  <c r="M36" i="2"/>
  <c r="M37" i="2" s="1"/>
  <c r="Y336" i="2"/>
  <c r="L44" i="2"/>
  <c r="L45" i="2" l="1"/>
  <c r="M41" i="2"/>
  <c r="M42" i="2" s="1"/>
  <c r="C55" i="4"/>
  <c r="C54" i="4"/>
  <c r="C52" i="4"/>
  <c r="C51" i="4"/>
  <c r="L51" i="2"/>
  <c r="L52" i="2" l="1"/>
  <c r="M46" i="2"/>
  <c r="M47" i="2" s="1"/>
  <c r="M48" i="2" s="1"/>
  <c r="M49" i="2" s="1"/>
  <c r="T204" i="2"/>
  <c r="P204" i="2"/>
  <c r="M53" i="2" l="1"/>
  <c r="AA336" i="2"/>
  <c r="S336" i="2" s="1"/>
  <c r="C1" i="5"/>
  <c r="N202" i="2"/>
  <c r="B11" i="5" s="1"/>
  <c r="M202" i="2"/>
  <c r="N201" i="2"/>
  <c r="B10" i="5" s="1"/>
  <c r="M201" i="2"/>
  <c r="N200" i="2"/>
  <c r="B9" i="5" s="1"/>
  <c r="M200" i="2"/>
  <c r="N199" i="2"/>
  <c r="B8" i="5" s="1"/>
  <c r="M199" i="2"/>
  <c r="N198" i="2"/>
  <c r="B7" i="5" s="1"/>
  <c r="M198" i="2"/>
  <c r="N197" i="2"/>
  <c r="B6" i="5" s="1"/>
  <c r="M197" i="2"/>
  <c r="N192" i="2"/>
  <c r="N191" i="2"/>
  <c r="N190" i="2"/>
  <c r="N189" i="2"/>
  <c r="N188" i="2"/>
  <c r="N187" i="2"/>
  <c r="M192" i="2"/>
  <c r="M191" i="2"/>
  <c r="M190" i="2"/>
  <c r="M189" i="2"/>
  <c r="M188" i="2"/>
  <c r="M187" i="2"/>
  <c r="L60" i="2"/>
  <c r="M54" i="2" l="1"/>
  <c r="M55" i="2" s="1"/>
  <c r="M56" i="2" s="1"/>
  <c r="M57" i="2" s="1"/>
  <c r="M58" i="2" s="1"/>
  <c r="L61" i="2"/>
  <c r="T334" i="2"/>
  <c r="AD336" i="2"/>
  <c r="L70" i="2"/>
  <c r="L71" i="2" l="1"/>
  <c r="M72" i="2" s="1"/>
  <c r="M73" i="2" s="1"/>
  <c r="M62" i="2"/>
  <c r="M63" i="2" s="1"/>
  <c r="M64" i="2" s="1"/>
  <c r="M65" i="2" s="1"/>
  <c r="AD332" i="2"/>
  <c r="L77" i="2"/>
  <c r="M74" i="2" l="1"/>
  <c r="M75" i="2" s="1"/>
  <c r="L78" i="2"/>
  <c r="M79" i="2" s="1"/>
  <c r="G3" i="5"/>
  <c r="K3" i="5" s="1"/>
  <c r="O3" i="5" s="1"/>
  <c r="S3" i="5" s="1"/>
  <c r="W3" i="5" s="1"/>
  <c r="AA3" i="5" s="1"/>
  <c r="AE3" i="5" s="1"/>
  <c r="AI3" i="5" s="1"/>
  <c r="C4" i="5"/>
  <c r="L86" i="2"/>
  <c r="D4" i="5" l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M80" i="2"/>
  <c r="M81" i="2" s="1"/>
  <c r="M82" i="2" s="1"/>
  <c r="M83" i="2" s="1"/>
  <c r="L87" i="2"/>
  <c r="M88" i="2" s="1"/>
  <c r="M89" i="2" s="1"/>
  <c r="M90" i="2" s="1"/>
  <c r="N263" i="2"/>
  <c r="N262" i="2"/>
  <c r="N261" i="2"/>
  <c r="S95" i="2" s="1"/>
  <c r="W185" i="2"/>
  <c r="B185" i="2" s="1"/>
  <c r="L93" i="2"/>
  <c r="AD95" i="2" l="1"/>
  <c r="T93" i="2"/>
  <c r="S42" i="2"/>
  <c r="AD42" i="2" s="1"/>
  <c r="S54" i="2"/>
  <c r="AD54" i="2" s="1"/>
  <c r="S53" i="2"/>
  <c r="S56" i="2"/>
  <c r="AD56" i="2" s="1"/>
  <c r="S58" i="2"/>
  <c r="AD58" i="2" s="1"/>
  <c r="S47" i="2"/>
  <c r="AD47" i="2" s="1"/>
  <c r="S37" i="2"/>
  <c r="AD37" i="2" s="1"/>
  <c r="S48" i="2"/>
  <c r="AD48" i="2" s="1"/>
  <c r="S46" i="2"/>
  <c r="S41" i="2"/>
  <c r="S49" i="2"/>
  <c r="AD49" i="2" s="1"/>
  <c r="S17" i="2"/>
  <c r="S36" i="2"/>
  <c r="L94" i="2"/>
  <c r="M3" i="2"/>
  <c r="S92" i="2"/>
  <c r="L97" i="2"/>
  <c r="T51" i="2" l="1"/>
  <c r="AD53" i="2"/>
  <c r="AD41" i="2"/>
  <c r="T39" i="2"/>
  <c r="T34" i="2"/>
  <c r="AD36" i="2"/>
  <c r="AD46" i="2"/>
  <c r="T44" i="2"/>
  <c r="AD17" i="2"/>
  <c r="T14" i="2"/>
  <c r="L98" i="2"/>
  <c r="M99" i="2" s="1"/>
  <c r="M95" i="2"/>
  <c r="N3" i="2"/>
  <c r="L104" i="2"/>
  <c r="L105" i="2" l="1"/>
  <c r="M106" i="2" s="1"/>
  <c r="M107" i="2" s="1"/>
  <c r="S32" i="2"/>
  <c r="O188" i="2" s="1"/>
  <c r="P188" i="2" s="1"/>
  <c r="S12" i="2"/>
  <c r="O187" i="2" s="1"/>
  <c r="L109" i="2"/>
  <c r="L110" i="2" l="1"/>
  <c r="M111" i="2" s="1"/>
  <c r="M112" i="2" s="1"/>
  <c r="M113" i="2" s="1"/>
  <c r="M114" i="2" s="1"/>
  <c r="W188" i="2"/>
  <c r="P187" i="2"/>
  <c r="P197" i="2" s="1"/>
  <c r="O198" i="2" s="1"/>
  <c r="W187" i="2"/>
  <c r="L116" i="2"/>
  <c r="L117" i="2" l="1"/>
  <c r="M118" i="2" s="1"/>
  <c r="M119" i="2" s="1"/>
  <c r="M120" i="2" s="1"/>
  <c r="M121" i="2" s="1"/>
  <c r="P198" i="2"/>
  <c r="O199" i="2" s="1"/>
  <c r="L123" i="2"/>
  <c r="L124" i="2" l="1"/>
  <c r="M125" i="2" s="1"/>
  <c r="M126" i="2" s="1"/>
  <c r="S332" i="2"/>
  <c r="L131" i="2"/>
  <c r="L132" i="2" l="1"/>
  <c r="M133" i="2" s="1"/>
  <c r="M134" i="2" s="1"/>
  <c r="S68" i="2"/>
  <c r="O189" i="2" s="1"/>
  <c r="L136" i="2"/>
  <c r="L137" i="2" l="1"/>
  <c r="M138" i="2" s="1"/>
  <c r="T140" i="2"/>
  <c r="Y126" i="2"/>
  <c r="AA126" i="2" s="1"/>
  <c r="S126" i="2" s="1"/>
  <c r="AD126" i="2" s="1"/>
  <c r="P189" i="2"/>
  <c r="P199" i="2" s="1"/>
  <c r="O200" i="2" s="1"/>
  <c r="W189" i="2"/>
  <c r="L140" i="2"/>
  <c r="L141" i="2" l="1"/>
  <c r="M142" i="2" s="1"/>
  <c r="T123" i="2"/>
  <c r="S102" i="2" s="1"/>
  <c r="O190" i="2" s="1"/>
  <c r="T136" i="2"/>
  <c r="S129" i="2" s="1"/>
  <c r="O191" i="2" s="1"/>
  <c r="L144" i="2"/>
  <c r="L145" i="2" l="1"/>
  <c r="M146" i="2" s="1"/>
  <c r="M147" i="2" s="1"/>
  <c r="M148" i="2" s="1"/>
  <c r="M149" i="2" s="1"/>
  <c r="X156" i="2"/>
  <c r="Y156" i="2" s="1"/>
  <c r="AA156" i="2" s="1"/>
  <c r="S156" i="2" s="1"/>
  <c r="W190" i="2"/>
  <c r="P190" i="2"/>
  <c r="P200" i="2" s="1"/>
  <c r="O201" i="2" s="1"/>
  <c r="P191" i="2"/>
  <c r="W191" i="2"/>
  <c r="L154" i="2"/>
  <c r="L155" i="2" l="1"/>
  <c r="AD156" i="2"/>
  <c r="T3" i="2" s="1"/>
  <c r="T154" i="2"/>
  <c r="S152" i="2" s="1"/>
  <c r="O192" i="2" s="1"/>
  <c r="P201" i="2"/>
  <c r="O202" i="2" s="1"/>
  <c r="L334" i="2"/>
  <c r="L335" i="2" l="1"/>
  <c r="M336" i="2" s="1"/>
  <c r="M156" i="2"/>
  <c r="O193" i="2"/>
  <c r="W192" i="2"/>
  <c r="W193" i="2" s="1"/>
  <c r="P178" i="2" s="1"/>
  <c r="P192" i="2"/>
  <c r="P193" i="2" s="1"/>
  <c r="N5" i="2" l="1"/>
  <c r="P202" i="2"/>
  <c r="T203" i="2" s="1"/>
  <c r="O178" i="2"/>
  <c r="N222" i="2"/>
  <c r="S159" i="2"/>
  <c r="P203" i="2" l="1"/>
  <c r="N6" i="2" s="1"/>
</calcChain>
</file>

<file path=xl/sharedStrings.xml><?xml version="1.0" encoding="utf-8"?>
<sst xmlns="http://schemas.openxmlformats.org/spreadsheetml/2006/main" count="1061" uniqueCount="562">
  <si>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</si>
  <si>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</si>
  <si>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</si>
  <si>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</si>
  <si>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</si>
  <si>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</si>
  <si>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</si>
  <si>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</si>
  <si>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</si>
  <si>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</si>
  <si>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</si>
  <si>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</si>
  <si>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</si>
  <si>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</si>
  <si>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</si>
  <si>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</si>
  <si>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</si>
  <si>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</si>
  <si>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</si>
  <si>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</si>
  <si>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</si>
  <si>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</si>
  <si>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</si>
  <si>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</si>
  <si>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</si>
  <si>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</si>
  <si>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</si>
  <si>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</si>
  <si>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</si>
  <si>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</si>
  <si>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</si>
  <si>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</si>
  <si>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</si>
  <si>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</si>
  <si>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</si>
  <si>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</si>
  <si>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</si>
  <si>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</si>
  <si>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</si>
  <si>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</si>
  <si>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</si>
  <si>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</si>
  <si>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</si>
  <si>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</si>
  <si>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</si>
  <si>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</si>
  <si>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</si>
  <si>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</si>
  <si>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</si>
  <si>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</si>
  <si>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</si>
  <si>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</si>
  <si>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</si>
  <si>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</si>
  <si>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</si>
  <si>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</si>
  <si>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</si>
  <si>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</si>
  <si>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</si>
  <si>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</si>
  <si>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</si>
  <si>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</si>
  <si>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</si>
  <si>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</si>
  <si>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</si>
  <si>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</si>
  <si>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</si>
  <si>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</si>
  <si>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</si>
  <si>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</si>
  <si>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</si>
  <si>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</si>
  <si>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</si>
  <si>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</si>
  <si>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</si>
  <si>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</si>
  <si>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</si>
  <si>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</si>
  <si>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</si>
  <si>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</si>
  <si>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</si>
  <si>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</si>
  <si>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</si>
  <si>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</si>
  <si>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</si>
  <si>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</si>
  <si>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</si>
  <si>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</si>
  <si>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</si>
  <si>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</si>
  <si>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</si>
  <si>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</si>
  <si>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</si>
  <si>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</si>
  <si>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</si>
  <si>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</si>
  <si>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</si>
  <si>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</si>
  <si>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</si>
  <si>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</si>
  <si>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</si>
  <si>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</si>
  <si>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</si>
  <si>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</si>
  <si>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</si>
  <si>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</si>
  <si>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</si>
  <si>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</si>
  <si>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</si>
  <si>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</si>
  <si>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</si>
  <si>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</si>
  <si>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</si>
  <si>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</si>
  <si>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</si>
  <si>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</si>
  <si>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</si>
  <si>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</si>
  <si>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</si>
  <si>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</si>
  <si>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</si>
  <si>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</si>
  <si>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</si>
  <si>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</si>
  <si>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</si>
  <si>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</si>
  <si>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</si>
  <si>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</si>
  <si>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</si>
  <si>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</si>
  <si>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</si>
  <si>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</si>
  <si>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</si>
  <si>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</si>
  <si>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</si>
  <si>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</si>
  <si>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</si>
  <si>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</si>
  <si>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</si>
  <si>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</si>
  <si>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</si>
  <si>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</si>
  <si>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</si>
  <si>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</si>
  <si>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</si>
  <si>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</si>
  <si>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</si>
  <si>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</si>
  <si>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</si>
  <si>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</si>
  <si>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</si>
  <si>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</si>
  <si>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</si>
  <si>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</si>
  <si>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</si>
  <si>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</si>
  <si>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</si>
  <si>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</si>
  <si>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</si>
  <si>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</si>
  <si>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</si>
  <si>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</si>
  <si>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</si>
  <si>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</si>
  <si>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</si>
  <si>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</si>
  <si>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</si>
  <si>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</si>
  <si>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</si>
  <si>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</si>
  <si>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</si>
  <si>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</si>
  <si>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</si>
  <si>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</si>
  <si>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</si>
  <si>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</si>
  <si>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</si>
  <si>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</si>
  <si>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</si>
  <si>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</si>
  <si>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</si>
  <si>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</si>
  <si>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</si>
  <si>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</si>
  <si>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</si>
  <si>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</si>
  <si>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</si>
  <si>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</si>
  <si>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</si>
  <si>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</si>
  <si>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</si>
  <si>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</si>
  <si>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</si>
  <si>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</si>
  <si>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</si>
  <si>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</si>
  <si>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</si>
  <si>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</si>
  <si>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</si>
  <si>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</si>
  <si>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</si>
  <si>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</si>
  <si>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</si>
  <si>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</si>
  <si>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</si>
  <si>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</si>
  <si>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</si>
  <si>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</si>
  <si>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</si>
  <si>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</si>
  <si>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</si>
  <si>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</si>
  <si>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</si>
  <si>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</si>
  <si>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</si>
  <si>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</si>
  <si>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</si>
  <si>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</si>
  <si>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</si>
  <si>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</si>
  <si>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</si>
  <si>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</si>
  <si>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</si>
  <si>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</si>
  <si>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</si>
  <si>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</si>
  <si>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</si>
  <si>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</si>
  <si>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</si>
  <si>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</si>
  <si>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</si>
  <si>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</si>
  <si>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</si>
  <si>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</si>
  <si>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</si>
  <si>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</si>
  <si>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</si>
  <si>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</si>
  <si>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</si>
  <si>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</si>
  <si>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</si>
  <si>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</si>
  <si>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</si>
  <si>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</si>
  <si>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</si>
  <si>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</si>
  <si>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</si>
  <si>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</si>
  <si>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</si>
  <si>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</si>
  <si>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</si>
  <si>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</si>
  <si>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</si>
  <si>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</si>
  <si>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</si>
  <si>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</si>
  <si>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</si>
  <si>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</si>
  <si>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</si>
  <si>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</si>
  <si>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</si>
  <si>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</si>
  <si>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</si>
  <si>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</si>
  <si>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</si>
  <si>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</si>
  <si>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</si>
  <si>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</si>
  <si>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</si>
  <si>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</si>
  <si>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</si>
  <si>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</si>
  <si>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</si>
  <si>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</si>
  <si>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</si>
  <si>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</si>
  <si>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</si>
  <si>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</si>
  <si>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</si>
  <si>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</si>
  <si>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</si>
  <si>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</si>
  <si>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</si>
  <si>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</si>
  <si>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</si>
  <si>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</si>
  <si>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</si>
  <si>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</si>
  <si>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</si>
  <si>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</si>
  <si>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</si>
  <si>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</si>
  <si>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</si>
  <si>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</si>
  <si>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</si>
  <si>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</si>
  <si>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</si>
  <si>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</si>
  <si>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</si>
  <si>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</si>
  <si>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</si>
  <si>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</si>
  <si>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</si>
  <si>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</si>
  <si>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</si>
  <si>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</si>
  <si>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</si>
  <si>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</si>
  <si>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</si>
  <si>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</si>
  <si>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</si>
  <si>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</si>
  <si>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</si>
  <si>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</si>
  <si>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</si>
  <si>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</si>
  <si>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</si>
  <si>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</si>
  <si>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</si>
  <si>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</si>
  <si>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</si>
  <si>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</si>
  <si>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</si>
  <si>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</si>
  <si>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</si>
  <si>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</si>
  <si>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</si>
  <si>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</si>
  <si>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</si>
  <si>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</si>
  <si>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</si>
  <si>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</si>
  <si>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</si>
  <si>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</si>
  <si>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</si>
  <si>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</si>
  <si>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</si>
  <si>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</si>
  <si>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</si>
  <si>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</si>
  <si>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</si>
  <si>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</si>
  <si>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</si>
  <si>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</si>
  <si>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</si>
  <si>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</si>
  <si>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</si>
  <si>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</si>
  <si>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</si>
  <si>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</si>
  <si>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</si>
  <si>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</si>
  <si>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</si>
  <si>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</si>
  <si>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</si>
  <si>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</si>
  <si>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</si>
  <si>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</si>
  <si>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</si>
  <si>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</si>
  <si>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</si>
  <si>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</si>
  <si>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</si>
  <si>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</si>
  <si>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</si>
  <si>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</si>
  <si>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</si>
  <si>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</si>
  <si>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</si>
  <si>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</si>
  <si>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</si>
  <si>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</si>
  <si>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</si>
  <si>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</si>
  <si>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</si>
  <si>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</si>
  <si>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</si>
  <si>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</si>
  <si>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</si>
  <si>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</si>
  <si>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</si>
  <si>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</si>
  <si>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</si>
  <si>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</si>
  <si>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</si>
  <si>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</si>
  <si>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</si>
  <si>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</si>
  <si>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</si>
  <si>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</si>
  <si>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</si>
  <si>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</si>
  <si>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</si>
  <si>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</si>
  <si>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</si>
  <si>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</si>
  <si>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</si>
  <si>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</si>
  <si>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</si>
  <si>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</si>
  <si>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</si>
  <si>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</si>
  <si>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</si>
  <si>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</si>
  <si>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</si>
  <si>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</si>
  <si>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</si>
  <si>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</si>
  <si>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</si>
  <si>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</si>
  <si>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</si>
  <si>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</si>
  <si>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</si>
  <si>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</si>
  <si>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</si>
  <si>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</si>
  <si>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</si>
  <si>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</si>
  <si>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</si>
  <si>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</si>
  <si>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</si>
  <si>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</si>
  <si>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</si>
  <si>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</si>
  <si>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</si>
  <si>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</si>
  <si>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</si>
  <si>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</si>
  <si>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</si>
  <si>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</si>
  <si>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</si>
  <si>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</si>
  <si>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</si>
  <si>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</si>
  <si>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</si>
  <si>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</si>
  <si>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</si>
  <si>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</si>
  <si>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</si>
  <si>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</si>
  <si>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</si>
  <si>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</si>
  <si>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</si>
  <si>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</si>
  <si>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</si>
  <si>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</si>
  <si>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</si>
  <si>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</si>
  <si>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</si>
  <si>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</si>
  <si>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Data Migration</t>
  </si>
  <si>
    <t>Data Migration ETL Process</t>
  </si>
  <si>
    <t>Data Migration Execution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</si>
  <si>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</si>
  <si>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</si>
  <si>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</si>
  <si>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</si>
  <si>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</si>
  <si>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</si>
  <si>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Analysis of existing system architecture</t>
  </si>
  <si>
    <t>Business process understanding and verification</t>
  </si>
  <si>
    <t>Requirement analysis</t>
  </si>
  <si>
    <t>Analysis for new business requirements</t>
  </si>
  <si>
    <t>Business process re-engineering
&gt;&gt; Analysis to optimize existing business processes and workflows.</t>
  </si>
  <si>
    <t>Documentation, prototyping and review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</si>
  <si>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</si>
  <si>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</si>
  <si>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Prototyping: Mock-ups
&gt;&gt; Preparation of mock-ups for key UI elements and graphics (icons, color themes, etc.)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</si>
  <si>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</si>
  <si>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</si>
  <si>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</si>
  <si>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</si>
  <si>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</si>
  <si>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</si>
  <si>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>Tables</t>
  </si>
  <si>
    <t xml:space="preserve">High Level Analysis and design document preparation
</t>
  </si>
  <si>
    <t xml:space="preserve">Low level analysis and design document preparation
</t>
  </si>
  <si>
    <t>Database design and analysis document preparation
&gt;&gt; Data Dictionary etc.</t>
  </si>
  <si>
    <t>Review and Sign-off
&gt;&gt; Client review iterations and sign-off on design documents</t>
  </si>
  <si>
    <t>Design Analysis and Documentation</t>
  </si>
  <si>
    <t>X-cutting layers
&gt;&gt; Logging, Exception handling, caching, notification, etc.</t>
  </si>
  <si>
    <t>Security
&gt;&gt; Authentication, authorization framework</t>
  </si>
  <si>
    <t>Integration adaptor framework</t>
  </si>
  <si>
    <t>Schedular service</t>
  </si>
  <si>
    <t>UI Navigation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</si>
  <si>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</si>
  <si>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</si>
  <si>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</si>
  <si>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</si>
  <si>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</si>
  <si>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</si>
  <si>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</si>
  <si>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</si>
  <si>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</si>
  <si>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</si>
  <si>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</si>
  <si>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</si>
  <si>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</si>
  <si>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</si>
  <si>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</si>
  <si>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</si>
  <si>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&gt;&gt; From older to new SQL Server DB
&gt;&gt; Master Script</t>
  </si>
  <si>
    <t>&gt;&gt; From older to new database
&gt;&gt; ETL Process and data de-duplication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</si>
  <si>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</si>
  <si>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</si>
  <si>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</si>
  <si>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</si>
  <si>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</si>
  <si>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</si>
  <si>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</si>
  <si>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</si>
  <si>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</si>
  <si>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</si>
  <si>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Multi-lingual testing</t>
  </si>
  <si>
    <t>Data migration testing</t>
  </si>
  <si>
    <t>Multi-browser testing</t>
  </si>
  <si>
    <t>Multi-device testing</t>
  </si>
  <si>
    <t>Devices</t>
  </si>
  <si>
    <t>Browsers</t>
  </si>
  <si>
    <t>Languages</t>
  </si>
  <si>
    <t>System Stabilization</t>
  </si>
  <si>
    <t>Performance tuning</t>
  </si>
  <si>
    <t>Bug fixing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</si>
  <si>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</si>
  <si>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</si>
  <si>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</si>
  <si>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</si>
  <si>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</si>
  <si>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</si>
  <si>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</si>
  <si>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</si>
  <si>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</si>
  <si>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</si>
  <si>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</si>
  <si>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</si>
  <si>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</si>
  <si>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</si>
  <si>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</si>
  <si>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</si>
  <si>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</si>
  <si>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</si>
  <si>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</si>
  <si>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Name: Total Test Cases</t>
  </si>
  <si>
    <t>Resources
Weeks</t>
  </si>
  <si>
    <t>2 Resources for 4 weeks of 5 days each.</t>
  </si>
  <si>
    <t>1 Resource for 2 weeks of 5 days each.</t>
  </si>
  <si>
    <t>PM Effort</t>
  </si>
  <si>
    <t>Project management effort</t>
  </si>
  <si>
    <t>Percentage</t>
  </si>
  <si>
    <t>AG Estimation Template -  Version</t>
  </si>
  <si>
    <t>2.0.1</t>
  </si>
  <si>
    <t>Mohit Bhardwaj</t>
  </si>
  <si>
    <t>Y Company</t>
  </si>
  <si>
    <t>E-Policy Portal</t>
  </si>
  <si>
    <t>POC:Integration with payment provider with the technology stack</t>
  </si>
  <si>
    <t>Multi-layered architecture:
&gt;&gt; DAL, ORM, BLL, Façade, WEB API and Presentation layer
&gt;&gt; Communication design across layers through interfaces and DTOs</t>
  </si>
  <si>
    <t>POC: Using ORM in a different class library</t>
  </si>
  <si>
    <t>Customer Screen</t>
  </si>
  <si>
    <t>Screen: Agent Screen
&gt;&gt; CRUD, List, Search</t>
  </si>
  <si>
    <t>Internal User Screen</t>
  </si>
  <si>
    <t>Implementation</t>
  </si>
  <si>
    <t>Implementation of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</si>
</sst>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64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5" fontId="0" fillId="5" borderId="10" xfId="0" applyNumberFormat="1" applyFill="1" applyBorder="1" applyAlignment="1" applyProtection="1">
      <alignment horizontal="center" vertical="top"/>
      <protection locked="0"/>
    </xf>
    <xf numFmtId="165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6" fontId="27" fillId="2" borderId="20" xfId="0" applyNumberFormat="1" applyFont="1" applyFill="1" applyBorder="1" applyAlignment="1">
      <alignment horizontal="center" textRotation="90"/>
    </xf>
    <xf numFmtId="166" fontId="27" fillId="2" borderId="3" xfId="0" applyNumberFormat="1" applyFont="1" applyFill="1" applyBorder="1" applyAlignment="1">
      <alignment horizontal="center" textRotation="90"/>
    </xf>
    <xf numFmtId="166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4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5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5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5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5" fontId="0" fillId="5" borderId="12" xfId="0" applyNumberFormat="1" applyFill="1" applyBorder="1" applyAlignment="1" applyProtection="1">
      <alignment horizontal="right" vertical="top"/>
      <protection locked="0"/>
    </xf>
    <xf numFmtId="165" fontId="0" fillId="14" borderId="12" xfId="0" applyNumberFormat="1" applyFill="1" applyBorder="1" applyAlignment="1" applyProtection="1">
      <alignment horizontal="right" vertical="top"/>
      <protection locked="0"/>
    </xf>
    <xf numFmtId="165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5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4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43" fontId="8" fillId="2" borderId="0" xfId="1" applyFont="1" applyFill="1" applyAlignment="1" applyProtection="1">
      <alignment vertical="center"/>
    </xf>
    <xf numFmtId="43" fontId="0" fillId="6" borderId="4" xfId="1" applyFont="1" applyFill="1" applyBorder="1" applyAlignment="1" applyProtection="1">
      <alignment vertical="top"/>
      <protection locked="0"/>
    </xf>
    <xf numFmtId="43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4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4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vertical="top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5" fontId="0" fillId="5" borderId="10" xfId="2" applyNumberFormat="1" applyFont="1" applyFill="1" applyBorder="1" applyAlignment="1" applyProtection="1">
      <alignment horizontal="right" vertical="top"/>
      <protection locked="0"/>
    </xf>
    <xf numFmtId="165" fontId="0" fillId="14" borderId="10" xfId="2" applyNumberFormat="1" applyFont="1" applyFill="1" applyBorder="1" applyAlignment="1" applyProtection="1">
      <alignment horizontal="right" vertical="top"/>
      <protection locked="0"/>
    </xf>
    <xf numFmtId="165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" fillId="14" borderId="0" xfId="0" applyFont="1" applyFill="1" applyAlignment="1" applyProtection="1">
      <alignment horizontal="left" vertical="top"/>
    </xf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5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4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0" fillId="6" borderId="0" xfId="0" applyFont="1" applyFill="1" applyBorder="1" applyAlignment="1" applyProtection="1">
      <alignment vertical="top"/>
    </xf>
    <xf numFmtId="0" fontId="0" fillId="6" borderId="0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left" vertical="top"/>
    </xf>
    <xf numFmtId="0" fontId="0" fillId="4" borderId="0" xfId="0" applyFont="1" applyFill="1" applyAlignment="1" applyProtection="1">
      <alignment vertical="top" wrapText="1"/>
    </xf>
    <xf numFmtId="165" fontId="0" fillId="4" borderId="0" xfId="0" applyNumberFormat="1" applyFont="1" applyFill="1" applyAlignment="1" applyProtection="1">
      <alignment vertical="top" wrapText="1"/>
    </xf>
    <xf numFmtId="165" fontId="0" fillId="4" borderId="0" xfId="0" applyNumberFormat="1" applyFont="1" applyFill="1" applyAlignment="1" applyProtection="1">
      <alignment vertical="top"/>
    </xf>
    <xf numFmtId="0" fontId="0" fillId="6" borderId="0" xfId="0" applyFont="1" applyFill="1" applyAlignment="1" applyProtection="1">
      <alignment vertical="top" wrapText="1"/>
    </xf>
    <xf numFmtId="0" fontId="0" fillId="6" borderId="0" xfId="0" applyFont="1" applyFill="1" applyAlignment="1" applyProtection="1">
      <alignment vertical="top"/>
    </xf>
    <xf numFmtId="0" fontId="80" fillId="11" borderId="0" xfId="0" applyFont="1" applyFill="1" applyBorder="1" applyAlignment="1" applyProtection="1">
      <alignment horizontal="center" vertical="top" textRotation="90"/>
    </xf>
    <xf numFmtId="0" fontId="2" fillId="6" borderId="0" xfId="0" applyFont="1" applyFill="1" applyBorder="1" applyAlignment="1" applyProtection="1">
      <alignment vertical="top"/>
    </xf>
    <xf numFmtId="0" fontId="2" fillId="6" borderId="0" xfId="0" applyFont="1" applyFill="1" applyBorder="1" applyAlignment="1" applyProtection="1">
      <alignment horizontal="center" vertical="top"/>
    </xf>
    <xf numFmtId="0" fontId="78" fillId="7" borderId="0" xfId="0" applyFont="1" applyFill="1" applyBorder="1" applyAlignment="1" applyProtection="1">
      <alignment horizontal="center" vertical="top"/>
    </xf>
    <xf numFmtId="0" fontId="2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left" vertical="top"/>
    </xf>
    <xf numFmtId="0" fontId="2" fillId="4" borderId="0" xfId="0" applyFont="1" applyFill="1" applyAlignment="1" applyProtection="1">
      <alignment vertical="top" wrapText="1"/>
    </xf>
    <xf numFmtId="165" fontId="2" fillId="4" borderId="0" xfId="0" applyNumberFormat="1" applyFont="1" applyFill="1" applyAlignment="1" applyProtection="1">
      <alignment vertical="top" wrapText="1"/>
    </xf>
    <xf numFmtId="165" fontId="2" fillId="4" borderId="0" xfId="0" applyNumberFormat="1" applyFont="1" applyFill="1" applyAlignment="1" applyProtection="1">
      <alignment vertical="top"/>
    </xf>
    <xf numFmtId="0" fontId="2" fillId="6" borderId="0" xfId="0" applyFont="1" applyFill="1" applyAlignment="1" applyProtection="1">
      <alignment vertical="top" wrapText="1"/>
    </xf>
    <xf numFmtId="0" fontId="2" fillId="6" borderId="0" xfId="0" applyFont="1" applyFill="1" applyAlignment="1" applyProtection="1">
      <alignment vertical="top"/>
    </xf>
    <xf numFmtId="0" fontId="8" fillId="2" borderId="0" xfId="0" applyFont="1" applyFill="1" applyAlignment="1" applyProtection="1">
      <alignment horizontal="left" vertical="center"/>
      <protection locked="0"/>
    </xf>
    <xf numFmtId="164" fontId="6" fillId="10" borderId="0" xfId="1" applyNumberFormat="1" applyFont="1" applyFill="1" applyBorder="1" applyAlignment="1" applyProtection="1">
      <alignment horizontal="right" vertical="center"/>
    </xf>
    <xf numFmtId="164" fontId="7" fillId="13" borderId="0" xfId="1" applyNumberFormat="1" applyFont="1" applyFill="1" applyAlignment="1" applyProtection="1">
      <alignment horizontal="left" vertical="center" indent="1"/>
    </xf>
    <xf numFmtId="164" fontId="6" fillId="10" borderId="0" xfId="1" applyNumberFormat="1" applyFont="1" applyFill="1" applyBorder="1" applyAlignment="1" applyProtection="1">
      <alignment horizontal="center" vertical="center"/>
    </xf>
    <xf numFmtId="164" fontId="53" fillId="9" borderId="0" xfId="1" applyNumberFormat="1" applyFont="1" applyFill="1" applyAlignment="1" applyProtection="1">
      <alignment horizontal="right" vertical="top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4" fillId="14" borderId="0" xfId="0" applyFont="1" applyFill="1" applyAlignment="1" applyProtection="1">
      <alignment horizontal="right" wrapText="1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15" fontId="0" fillId="14" borderId="0" xfId="0" applyNumberFormat="1" applyFill="1" applyAlignment="1" applyProtection="1">
      <alignment horizontal="left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164" fontId="0" fillId="4" borderId="11" xfId="1" applyNumberFormat="1" applyFont="1" applyFill="1" applyBorder="1" applyAlignment="1" applyProtection="1">
      <alignment horizontal="center" vertical="top"/>
    </xf>
    <xf numFmtId="164" fontId="0" fillId="4" borderId="13" xfId="1" applyNumberFormat="1" applyFont="1" applyFill="1" applyBorder="1" applyAlignment="1" applyProtection="1">
      <alignment horizontal="center" vertical="top"/>
    </xf>
    <xf numFmtId="164" fontId="0" fillId="4" borderId="8" xfId="1" applyNumberFormat="1" applyFont="1" applyFill="1" applyBorder="1" applyAlignment="1" applyProtection="1">
      <alignment horizontal="center" vertical="top"/>
    </xf>
    <xf numFmtId="164" fontId="0" fillId="4" borderId="15" xfId="1" applyNumberFormat="1" applyFont="1" applyFill="1" applyBorder="1" applyAlignment="1" applyProtection="1">
      <alignment horizontal="center" vertical="top"/>
    </xf>
    <xf numFmtId="164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689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CF9E-439E-8E2D-F9EFD479F7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F9E-439E-8E2D-F9EFD479F7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F9E-439E-8E2D-F9EFD479F7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F9E-439E-8E2D-F9EFD479F7E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F9E-439E-8E2D-F9EFD479F7E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F9E-439E-8E2D-F9EFD479F7E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CF9E-439E-8E2D-F9EFD479F7E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F9E-439E-8E2D-F9EFD479F7E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CF9E-439E-8E2D-F9EFD479F7E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F9E-439E-8E2D-F9EFD479F7E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CF9E-439E-8E2D-F9EFD479F7EE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CF9E-439E-8E2D-F9EFD479F7EE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Estimation!$L$187:$L$192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Estimation!$O$187:$O$192</c:f>
              <c:numCache>
                <c:formatCode>0</c:formatCode>
                <c:ptCount val="6"/>
                <c:pt idx="0">
                  <c:v>46</c:v>
                </c:pt>
                <c:pt idx="1">
                  <c:v>52</c:v>
                </c:pt>
                <c:pt idx="2">
                  <c:v>33</c:v>
                </c:pt>
                <c:pt idx="3">
                  <c:v>43</c:v>
                </c:pt>
                <c:pt idx="4">
                  <c:v>72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F-4667-90D6-DF18B6248C9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52917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185</xdr:row>
      <xdr:rowOff>100852</xdr:rowOff>
    </xdr:from>
    <xdr:to>
      <xdr:col>26</xdr:col>
      <xdr:colOff>515471</xdr:colOff>
      <xdr:row>193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8</xdr:row>
          <xdr:rowOff>7620</xdr:rowOff>
        </xdr:from>
        <xdr:to>
          <xdr:col>13</xdr:col>
          <xdr:colOff>76200</xdr:colOff>
          <xdr:row>9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8</xdr:row>
          <xdr:rowOff>7620</xdr:rowOff>
        </xdr:from>
        <xdr:to>
          <xdr:col>13</xdr:col>
          <xdr:colOff>822960</xdr:colOff>
          <xdr:row>9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7620</xdr:rowOff>
        </xdr:from>
        <xdr:to>
          <xdr:col>13</xdr:col>
          <xdr:colOff>2293620</xdr:colOff>
          <xdr:row>9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2331720</xdr:colOff>
          <xdr:row>8</xdr:row>
          <xdr:rowOff>7620</xdr:rowOff>
        </xdr:from>
        <xdr:to>
          <xdr:col>14</xdr:col>
          <xdr:colOff>190500</xdr:colOff>
          <xdr:row>9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7620</xdr:rowOff>
        </xdr:from>
        <xdr:to>
          <xdr:col>15</xdr:col>
          <xdr:colOff>7620</xdr:colOff>
          <xdr:row>9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8</xdr:row>
          <xdr:rowOff>7620</xdr:rowOff>
        </xdr:from>
        <xdr:to>
          <xdr:col>13</xdr:col>
          <xdr:colOff>1554480</xdr:colOff>
          <xdr:row>9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96000" y="3133726"/>
          <a:ext cx="111252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34590" y="19128105"/>
          <a:ext cx="38100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528685" y="20956905"/>
          <a:ext cx="37338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12155" y="22237065"/>
          <a:ext cx="38100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3885" y="24604980"/>
          <a:ext cx="37338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83455" y="26220420"/>
          <a:ext cx="38100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7730" y="28531185"/>
          <a:ext cx="38100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62650" y="17878425"/>
          <a:ext cx="585907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02505" y="26317575"/>
          <a:ext cx="670669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4" outlineLevelRow="1" x14ac:dyDescent="0.3"/>
  <cols>
    <col min="1" max="1" width="3.88671875" customWidth="1"/>
    <col min="2" max="2" width="14.109375" customWidth="1"/>
    <col min="3" max="3" width="32.33203125" customWidth="1"/>
  </cols>
  <sheetData>
    <row r="2" spans="2:3" collapsed="1" x14ac:dyDescent="0.3">
      <c r="B2" s="3" t="s">
        <v>16</v>
      </c>
      <c r="C2" s="4"/>
    </row>
    <row r="3" spans="2:3" hidden="1" outlineLevel="1" x14ac:dyDescent="0.3">
      <c r="B3" s="2" t="s">
        <v>23</v>
      </c>
      <c r="C3" s="2"/>
    </row>
    <row r="4" spans="2:3" hidden="1" outlineLevel="1" x14ac:dyDescent="0.3">
      <c r="B4" s="2" t="s">
        <v>6</v>
      </c>
      <c r="C4" s="2"/>
    </row>
    <row r="5" spans="2:3" hidden="1" outlineLevel="1" x14ac:dyDescent="0.3">
      <c r="B5" s="2" t="s">
        <v>7</v>
      </c>
      <c r="C5" s="2"/>
    </row>
    <row r="7" spans="2:3" collapsed="1" x14ac:dyDescent="0.3">
      <c r="B7" s="3" t="s">
        <v>17</v>
      </c>
      <c r="C7" s="4"/>
    </row>
    <row r="8" spans="2:3" hidden="1" outlineLevel="1" x14ac:dyDescent="0.3">
      <c r="B8" s="2" t="s">
        <v>23</v>
      </c>
      <c r="C8" s="2"/>
    </row>
    <row r="9" spans="2:3" hidden="1" outlineLevel="1" x14ac:dyDescent="0.3">
      <c r="B9" s="2" t="s">
        <v>8</v>
      </c>
      <c r="C9" s="2"/>
    </row>
    <row r="10" spans="2:3" hidden="1" outlineLevel="1" x14ac:dyDescent="0.3">
      <c r="B10" s="2" t="s">
        <v>13</v>
      </c>
      <c r="C10" s="2"/>
    </row>
    <row r="11" spans="2:3" hidden="1" outlineLevel="1" x14ac:dyDescent="0.3">
      <c r="B11" s="2" t="s">
        <v>14</v>
      </c>
      <c r="C11" s="2"/>
    </row>
    <row r="12" spans="2:3" hidden="1" outlineLevel="1" x14ac:dyDescent="0.3">
      <c r="B12" s="2" t="s">
        <v>15</v>
      </c>
      <c r="C12" s="2"/>
    </row>
    <row r="13" spans="2:3" hidden="1" outlineLevel="1" x14ac:dyDescent="0.3">
      <c r="B13" s="2" t="s">
        <v>9</v>
      </c>
      <c r="C13" s="2"/>
    </row>
    <row r="14" spans="2:3" hidden="1" outlineLevel="1" x14ac:dyDescent="0.3">
      <c r="B14" s="2" t="s">
        <v>10</v>
      </c>
      <c r="C14" s="2"/>
    </row>
    <row r="15" spans="2:3" hidden="1" outlineLevel="1" x14ac:dyDescent="0.3">
      <c r="B15" s="2" t="s">
        <v>12</v>
      </c>
      <c r="C15" s="2"/>
    </row>
    <row r="16" spans="2:3" hidden="1" outlineLevel="1" x14ac:dyDescent="0.3">
      <c r="B16" s="2" t="s">
        <v>11</v>
      </c>
      <c r="C16" s="2"/>
    </row>
    <row r="18" spans="2:3" collapsed="1" x14ac:dyDescent="0.3">
      <c r="B18" s="3" t="s">
        <v>24</v>
      </c>
      <c r="C18" s="4"/>
    </row>
    <row r="19" spans="2:3" hidden="1" outlineLevel="1" x14ac:dyDescent="0.3">
      <c r="B19" s="2" t="s">
        <v>23</v>
      </c>
      <c r="C19" s="2"/>
    </row>
    <row r="20" spans="2:3" hidden="1" outlineLevel="1" x14ac:dyDescent="0.3">
      <c r="B20" s="2" t="s">
        <v>18</v>
      </c>
      <c r="C20" s="2"/>
    </row>
    <row r="21" spans="2:3" hidden="1" outlineLevel="1" x14ac:dyDescent="0.3">
      <c r="B21" s="2" t="s">
        <v>19</v>
      </c>
      <c r="C21" s="2"/>
    </row>
    <row r="22" spans="2:3" hidden="1" outlineLevel="1" x14ac:dyDescent="0.3">
      <c r="B22" s="2" t="s">
        <v>20</v>
      </c>
      <c r="C22" s="2"/>
    </row>
    <row r="23" spans="2:3" hidden="1" outlineLevel="1" x14ac:dyDescent="0.3">
      <c r="B23" s="2" t="s">
        <v>21</v>
      </c>
      <c r="C23" s="2"/>
    </row>
    <row r="24" spans="2:3" hidden="1" outlineLevel="1" x14ac:dyDescent="0.3">
      <c r="B24" s="2" t="s">
        <v>22</v>
      </c>
      <c r="C24" s="2"/>
    </row>
    <row r="26" spans="2:3" collapsed="1" x14ac:dyDescent="0.3">
      <c r="B26" s="3" t="s">
        <v>28</v>
      </c>
      <c r="C26" s="4"/>
    </row>
    <row r="27" spans="2:3" hidden="1" outlineLevel="1" x14ac:dyDescent="0.3">
      <c r="B27" s="2" t="s">
        <v>23</v>
      </c>
      <c r="C27" s="2"/>
    </row>
    <row r="28" spans="2:3" hidden="1" outlineLevel="1" x14ac:dyDescent="0.3">
      <c r="B28" s="2" t="s">
        <v>25</v>
      </c>
      <c r="C28" s="2"/>
    </row>
    <row r="29" spans="2:3" hidden="1" outlineLevel="1" x14ac:dyDescent="0.3">
      <c r="B29" s="2" t="s">
        <v>27</v>
      </c>
      <c r="C29" s="2"/>
    </row>
    <row r="31" spans="2:3" collapsed="1" x14ac:dyDescent="0.3">
      <c r="B31" s="3" t="s">
        <v>35</v>
      </c>
      <c r="C31" s="3"/>
    </row>
    <row r="32" spans="2:3" hidden="1" outlineLevel="1" x14ac:dyDescent="0.3">
      <c r="B32" s="2" t="s">
        <v>23</v>
      </c>
      <c r="C32" s="2"/>
    </row>
    <row r="33" spans="2:3" hidden="1" outlineLevel="1" x14ac:dyDescent="0.3">
      <c r="B33" s="2" t="s">
        <v>32</v>
      </c>
      <c r="C33" s="2"/>
    </row>
    <row r="34" spans="2:3" hidden="1" outlineLevel="1" x14ac:dyDescent="0.3">
      <c r="B34" s="2" t="s">
        <v>33</v>
      </c>
      <c r="C34" s="2"/>
    </row>
    <row r="35" spans="2:3" hidden="1" outlineLevel="1" x14ac:dyDescent="0.3">
      <c r="B35" s="2" t="s">
        <v>34</v>
      </c>
      <c r="C35" s="2"/>
    </row>
    <row r="37" spans="2:3" collapsed="1" x14ac:dyDescent="0.3">
      <c r="B37" s="3" t="s">
        <v>37</v>
      </c>
      <c r="C37" s="3"/>
    </row>
    <row r="38" spans="2:3" hidden="1" outlineLevel="1" x14ac:dyDescent="0.3">
      <c r="B38" s="2" t="s">
        <v>23</v>
      </c>
      <c r="C38" s="2"/>
    </row>
    <row r="39" spans="2:3" hidden="1" outlineLevel="1" x14ac:dyDescent="0.3">
      <c r="B39" s="2" t="s">
        <v>38</v>
      </c>
      <c r="C39" s="2"/>
    </row>
    <row r="40" spans="2:3" hidden="1" outlineLevel="1" x14ac:dyDescent="0.3">
      <c r="B40" s="2" t="s">
        <v>39</v>
      </c>
      <c r="C40" s="2"/>
    </row>
    <row r="41" spans="2:3" hidden="1" outlineLevel="1" x14ac:dyDescent="0.3">
      <c r="B41" s="2" t="s">
        <v>40</v>
      </c>
      <c r="C41" s="2"/>
    </row>
    <row r="42" spans="2:3" hidden="1" outlineLevel="1" x14ac:dyDescent="0.3">
      <c r="B42" s="2" t="s">
        <v>41</v>
      </c>
      <c r="C42" s="2"/>
    </row>
    <row r="44" spans="2:3" collapsed="1" x14ac:dyDescent="0.3">
      <c r="B44" s="3" t="s">
        <v>44</v>
      </c>
      <c r="C44" s="4"/>
    </row>
    <row r="45" spans="2:3" hidden="1" outlineLevel="1" x14ac:dyDescent="0.3">
      <c r="B45" s="2" t="s">
        <v>23</v>
      </c>
      <c r="C45" s="2"/>
    </row>
    <row r="46" spans="2:3" hidden="1" outlineLevel="1" x14ac:dyDescent="0.3">
      <c r="B46" s="2" t="s">
        <v>42</v>
      </c>
      <c r="C46" s="2"/>
    </row>
    <row r="47" spans="2:3" hidden="1" outlineLevel="1" x14ac:dyDescent="0.3">
      <c r="B47" s="2" t="s">
        <v>43</v>
      </c>
      <c r="C47" s="2"/>
    </row>
    <row r="48" spans="2:3" hidden="1" outlineLevel="1" x14ac:dyDescent="0.3">
      <c r="B48" s="2" t="s">
        <v>45</v>
      </c>
      <c r="C48" s="2"/>
    </row>
    <row r="50" spans="2:3" collapsed="1" x14ac:dyDescent="0.3">
      <c r="B50" s="3" t="s">
        <v>52</v>
      </c>
      <c r="C50" s="3"/>
    </row>
    <row r="51" spans="2:3" hidden="1" outlineLevel="1" x14ac:dyDescent="0.3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">
      <c r="B52" s="2" t="s">
        <v>126</v>
      </c>
      <c r="C52" s="163">
        <f>CUSTOM_PERCENT*-1</f>
        <v>-0.25</v>
      </c>
    </row>
    <row r="53" spans="2:3" hidden="1" outlineLevel="1" x14ac:dyDescent="0.3">
      <c r="B53" s="2" t="s">
        <v>55</v>
      </c>
      <c r="C53" s="163">
        <v>0</v>
      </c>
    </row>
    <row r="54" spans="2:3" hidden="1" outlineLevel="1" x14ac:dyDescent="0.3">
      <c r="B54" s="2" t="s">
        <v>127</v>
      </c>
      <c r="C54" s="163">
        <f>CUSTOM_PERCENT</f>
        <v>0.25</v>
      </c>
    </row>
    <row r="55" spans="2:3" hidden="1" outlineLevel="1" x14ac:dyDescent="0.3">
      <c r="B55" s="2" t="s">
        <v>53</v>
      </c>
      <c r="C55" s="163">
        <f>MAX_EFFORT_PERCENT</f>
        <v>0.2</v>
      </c>
    </row>
    <row r="57" spans="2:3" collapsed="1" x14ac:dyDescent="0.3">
      <c r="B57" s="3" t="s">
        <v>61</v>
      </c>
      <c r="C57" s="3"/>
    </row>
    <row r="58" spans="2:3" hidden="1" outlineLevel="1" x14ac:dyDescent="0.3">
      <c r="B58" s="2" t="s">
        <v>63</v>
      </c>
      <c r="C58" s="2"/>
    </row>
    <row r="59" spans="2:3" hidden="1" outlineLevel="1" x14ac:dyDescent="0.3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D342"/>
  <sheetViews>
    <sheetView showGridLines="0" tabSelected="1" zoomScale="80" zoomScaleNormal="80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O22" sqref="O22"/>
    </sheetView>
  </sheetViews>
  <sheetFormatPr defaultColWidth="9.109375" defaultRowHeight="14.4" outlineLevelRow="2" outlineLevelCol="1" x14ac:dyDescent="0.3"/>
  <cols>
    <col min="1" max="1" width="1" style="93" customWidth="1"/>
    <col min="2" max="2" width="1" style="10" customWidth="1"/>
    <col min="3" max="5" width="1" style="80" customWidth="1"/>
    <col min="6" max="6" width="3" style="80" customWidth="1"/>
    <col min="7" max="7" width="7.88671875" style="19" customWidth="1" outlineLevel="1"/>
    <col min="8" max="9" width="8.44140625" style="19" customWidth="1" outlineLevel="1"/>
    <col min="10" max="10" width="7.88671875" style="19" customWidth="1" outlineLevel="1"/>
    <col min="11" max="11" width="37.44140625" style="19" customWidth="1" outlineLevel="1"/>
    <col min="12" max="12" width="3.88671875" style="19" customWidth="1"/>
    <col min="13" max="13" width="5.6640625" style="295" customWidth="1"/>
    <col min="14" max="14" width="42.6640625" style="27" customWidth="1"/>
    <col min="15" max="15" width="13.109375" style="27" customWidth="1"/>
    <col min="16" max="16" width="17.109375" style="19" customWidth="1"/>
    <col min="17" max="17" width="7" style="19" customWidth="1"/>
    <col min="18" max="18" width="6.44140625" style="19" customWidth="1"/>
    <col min="19" max="19" width="12" style="19" customWidth="1"/>
    <col min="20" max="20" width="10.6640625" style="19" customWidth="1"/>
    <col min="21" max="21" width="6.88671875" style="19" customWidth="1" outlineLevel="1"/>
    <col min="22" max="22" width="6.109375" style="19" customWidth="1" outlineLevel="1"/>
    <col min="23" max="23" width="6" style="19" customWidth="1" outlineLevel="1"/>
    <col min="24" max="24" width="11.6640625" style="19" customWidth="1" outlineLevel="1"/>
    <col min="25" max="25" width="11" style="19" customWidth="1" outlineLevel="1"/>
    <col min="26" max="26" width="6.5546875" style="19" customWidth="1" outlineLevel="1"/>
    <col min="27" max="27" width="11" style="19" customWidth="1" outlineLevel="1"/>
    <col min="28" max="28" width="35.6640625" style="27" customWidth="1"/>
    <col min="29" max="29" width="1.44140625" style="12" customWidth="1"/>
    <col min="30" max="30" width="19" style="12" customWidth="1"/>
    <col min="31" max="16384" width="9.109375" style="19"/>
  </cols>
  <sheetData>
    <row r="1" spans="1:30" s="11" customFormat="1" ht="4.5" customHeight="1" x14ac:dyDescent="0.3">
      <c r="A1" s="93"/>
      <c r="B1" s="10"/>
      <c r="C1" s="78"/>
      <c r="D1" s="78"/>
      <c r="E1" s="78"/>
      <c r="F1" s="78"/>
      <c r="M1" s="277"/>
      <c r="N1" s="12"/>
      <c r="O1" s="12"/>
      <c r="AB1" s="12"/>
      <c r="AC1" s="12"/>
      <c r="AD1" s="12"/>
    </row>
    <row r="2" spans="1:30" s="11" customFormat="1" ht="4.5" customHeight="1" x14ac:dyDescent="0.3">
      <c r="A2" s="94"/>
      <c r="B2" s="10"/>
      <c r="C2" s="337" t="s">
        <v>151</v>
      </c>
      <c r="D2" s="337"/>
      <c r="E2" s="337"/>
      <c r="F2" s="337"/>
      <c r="G2" s="147"/>
      <c r="H2" s="147"/>
      <c r="I2" s="147"/>
      <c r="J2" s="147"/>
      <c r="K2" s="147"/>
      <c r="L2" s="147"/>
      <c r="M2" s="278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1" customHeight="1" x14ac:dyDescent="0.5">
      <c r="A3" s="94"/>
      <c r="B3" s="10"/>
      <c r="C3" s="337"/>
      <c r="D3" s="337"/>
      <c r="E3" s="337"/>
      <c r="F3" s="337"/>
      <c r="G3" s="218" t="s">
        <v>549</v>
      </c>
      <c r="H3" s="95"/>
      <c r="I3" s="95"/>
      <c r="J3" s="95"/>
      <c r="K3" s="235" t="s">
        <v>550</v>
      </c>
      <c r="L3" s="95"/>
      <c r="M3" s="279">
        <f>IF(IS_KEY_OPP="Yes", 2, IF(IS_KEY_OPP="No", 0, 1))</f>
        <v>1</v>
      </c>
      <c r="N3" s="149" t="str">
        <f>CLIENT_NAME&amp;" - "&amp;PROJECT_NAME&amp;" ("&amp;PLATFORM&amp;" "&amp;PROJECT_TYPE&amp;" Project)"&amp;IF(RFP_NAME&lt;&gt;"", " - "&amp;RFP_NAME, "")</f>
        <v>Y Company - E-Policy Portal (Web Development Project) - RFP Name</v>
      </c>
      <c r="O3" s="149"/>
      <c r="P3" s="149"/>
      <c r="Q3" s="149"/>
      <c r="R3" s="149"/>
      <c r="S3" s="197"/>
      <c r="T3" s="266" t="str">
        <f>IF(COUNTIF(AD9:AD159, "Error:*") = 0, "", COUNTIF(AD9:AD159, "Error:*") &amp; " errors")</f>
        <v>4 errors</v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8"/>
      <c r="AC3" s="95"/>
      <c r="AD3" s="12"/>
    </row>
    <row r="4" spans="1:30" s="11" customFormat="1" ht="4.5" customHeight="1" x14ac:dyDescent="0.3">
      <c r="A4" s="94"/>
      <c r="B4" s="10"/>
      <c r="C4" s="337"/>
      <c r="D4" s="337"/>
      <c r="E4" s="337"/>
      <c r="F4" s="337"/>
      <c r="G4" s="95"/>
      <c r="H4" s="95"/>
      <c r="I4" s="95"/>
      <c r="J4" s="95"/>
      <c r="K4" s="95"/>
      <c r="L4" s="95"/>
      <c r="M4" s="280"/>
      <c r="N4" s="96"/>
      <c r="O4" s="95"/>
      <c r="P4" s="248"/>
      <c r="Q4" s="198"/>
      <c r="R4" s="95"/>
      <c r="S4" s="199"/>
      <c r="T4" s="267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">
      <c r="A5" s="94"/>
      <c r="B5" s="10"/>
      <c r="C5" s="337"/>
      <c r="D5" s="337"/>
      <c r="E5" s="337"/>
      <c r="F5" s="337"/>
      <c r="G5" s="95"/>
      <c r="H5" s="219" t="s">
        <v>275</v>
      </c>
      <c r="I5" s="340">
        <v>42150</v>
      </c>
      <c r="J5" s="340"/>
      <c r="K5" s="95"/>
      <c r="L5" s="95"/>
      <c r="M5" s="280"/>
      <c r="N5" s="98" t="str">
        <f>IF(TOTAL_EFFORT&lt;=0, "", CHOSEN_CURRENCY&amp;" "&amp;TEXT(CEILING(($W$193/1000),1),"##,##,###")&amp;" K  ●  "&amp;TEXT(TOTAL_EFFORT,"##,##,###")&amp;" PDs ("&amp;TEXT(TOTAL_WEEKS,"##,###"&amp;" Wk)"))</f>
        <v>USD 61 K  ●  271 PDs (54 Wk)</v>
      </c>
      <c r="O5" s="250"/>
      <c r="P5" s="249"/>
      <c r="Q5" s="256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24" t="s">
        <v>110</v>
      </c>
      <c r="AC5" s="97"/>
      <c r="AD5" s="12"/>
    </row>
    <row r="6" spans="1:30" s="11" customFormat="1" ht="20.25" customHeight="1" x14ac:dyDescent="0.3">
      <c r="A6" s="94"/>
      <c r="B6" s="10"/>
      <c r="C6" s="337"/>
      <c r="D6" s="337"/>
      <c r="E6" s="337"/>
      <c r="F6" s="337"/>
      <c r="G6" s="95"/>
      <c r="H6" s="219" t="s">
        <v>276</v>
      </c>
      <c r="I6" s="95" t="s">
        <v>551</v>
      </c>
      <c r="J6" s="95"/>
      <c r="K6" s="95"/>
      <c r="L6" s="95"/>
      <c r="M6" s="281"/>
      <c r="N6" s="143" t="str">
        <f>IF(TOTAL_EFFORT&lt;=0, "", "Auto: "&amp;DURATION&amp;" Wk  ("&amp;CEILING(DURATION/4,0.5)&amp;" M)"&amp;", Manual: "&amp;MANUAL_DURATION&amp;" Wk ("&amp;CEILING(MANUAL_DURATION/4,0.5)&amp;" M)")</f>
        <v>Auto: 25 Wk  (6.5 M), Manual: 52.2 Wk (13.5 M)</v>
      </c>
      <c r="O6" s="251"/>
      <c r="P6" s="249"/>
      <c r="Q6" s="247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24"/>
      <c r="AC6" s="97"/>
      <c r="AD6" s="12"/>
    </row>
    <row r="7" spans="1:30" s="11" customFormat="1" ht="4.5" customHeight="1" x14ac:dyDescent="0.3">
      <c r="A7" s="94"/>
      <c r="B7" s="10"/>
      <c r="C7" s="337"/>
      <c r="D7" s="337"/>
      <c r="E7" s="337"/>
      <c r="F7" s="337"/>
      <c r="G7" s="95"/>
      <c r="H7" s="95"/>
      <c r="I7" s="95"/>
      <c r="J7" s="95"/>
      <c r="K7" s="95"/>
      <c r="L7" s="95"/>
      <c r="M7" s="280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">
      <c r="A8" s="93"/>
      <c r="B8" s="10"/>
      <c r="C8" s="337"/>
      <c r="D8" s="337"/>
      <c r="E8" s="337"/>
      <c r="F8" s="337"/>
      <c r="G8" s="13"/>
      <c r="H8" s="13"/>
      <c r="I8" s="13"/>
      <c r="J8" s="13"/>
      <c r="K8" s="13"/>
      <c r="L8" s="13"/>
      <c r="M8" s="282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">
      <c r="A9" s="93"/>
      <c r="B9" s="10"/>
      <c r="C9" s="337"/>
      <c r="D9" s="337"/>
      <c r="E9" s="337"/>
      <c r="F9" s="337"/>
      <c r="G9" s="339" t="s">
        <v>131</v>
      </c>
      <c r="H9" s="339"/>
      <c r="I9" s="339"/>
      <c r="J9" s="339"/>
      <c r="K9" s="166"/>
      <c r="L9" s="154"/>
      <c r="M9" s="283"/>
      <c r="N9" s="43"/>
      <c r="O9" s="43"/>
      <c r="P9" s="43"/>
      <c r="Q9" s="246"/>
      <c r="R9" s="253" t="s">
        <v>147</v>
      </c>
      <c r="S9" s="208" t="s">
        <v>145</v>
      </c>
      <c r="T9" s="208" t="s">
        <v>146</v>
      </c>
      <c r="U9" s="246"/>
      <c r="V9" s="246"/>
      <c r="W9" s="246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">
      <c r="A10" s="93" t="s">
        <v>148</v>
      </c>
      <c r="B10" s="10"/>
      <c r="C10" s="338" t="s">
        <v>109</v>
      </c>
      <c r="D10" s="338"/>
      <c r="E10" s="338"/>
      <c r="F10" s="338"/>
      <c r="G10" s="48" t="s">
        <v>81</v>
      </c>
      <c r="H10" s="49" t="s">
        <v>80</v>
      </c>
      <c r="I10" s="183"/>
      <c r="J10" s="184"/>
      <c r="K10" s="50"/>
      <c r="L10" s="138"/>
      <c r="M10" s="284"/>
      <c r="N10" s="40"/>
      <c r="O10" s="191"/>
      <c r="P10" s="325" t="s">
        <v>57</v>
      </c>
      <c r="Q10" s="326"/>
      <c r="R10" s="327"/>
      <c r="S10" s="41"/>
      <c r="T10" s="252"/>
      <c r="U10" s="325" t="s">
        <v>58</v>
      </c>
      <c r="V10" s="326"/>
      <c r="W10" s="327"/>
      <c r="X10" s="254" t="s">
        <v>89</v>
      </c>
      <c r="Y10" s="69"/>
      <c r="Z10" s="42"/>
      <c r="AA10" s="222"/>
      <c r="AB10" s="40"/>
      <c r="AC10" s="40"/>
      <c r="AD10" s="12"/>
    </row>
    <row r="11" spans="1:30" s="11" customFormat="1" ht="15" customHeight="1" x14ac:dyDescent="0.3">
      <c r="A11" s="93" t="s">
        <v>104</v>
      </c>
      <c r="B11" s="10"/>
      <c r="C11" s="338" t="s">
        <v>152</v>
      </c>
      <c r="D11" s="338"/>
      <c r="E11" s="338"/>
      <c r="F11" s="338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5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54" t="s">
        <v>59</v>
      </c>
      <c r="T11" s="355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" x14ac:dyDescent="0.3">
      <c r="A12" s="93" t="s">
        <v>98</v>
      </c>
      <c r="B12" s="14"/>
      <c r="C12" s="341" t="s">
        <v>150</v>
      </c>
      <c r="D12" s="342"/>
      <c r="E12" s="342"/>
      <c r="F12" s="201" t="s">
        <v>149</v>
      </c>
      <c r="G12" s="55"/>
      <c r="H12" s="55"/>
      <c r="I12" s="55"/>
      <c r="J12" s="55"/>
      <c r="K12" s="55"/>
      <c r="L12" s="55" t="s">
        <v>0</v>
      </c>
      <c r="M12" s="286" t="s">
        <v>49</v>
      </c>
      <c r="N12" s="215"/>
      <c r="O12" s="57"/>
      <c r="P12" s="58"/>
      <c r="Q12" s="58"/>
      <c r="R12" s="58"/>
      <c r="S12" s="319">
        <f>CEILING(SUMIF(J13:J31, "&lt;&gt;Yes", T13:T31),1)</f>
        <v>46</v>
      </c>
      <c r="T12" s="319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customHeight="1" outlineLevel="1" x14ac:dyDescent="0.3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7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6" outlineLevel="1" x14ac:dyDescent="0.3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318" t="s">
        <v>458</v>
      </c>
      <c r="N14" s="318"/>
      <c r="O14" s="5"/>
      <c r="P14" s="33"/>
      <c r="Q14" s="33"/>
      <c r="R14" s="33"/>
      <c r="S14" s="33"/>
      <c r="T14" s="167">
        <f>IF($S$6="Exclude", SUMIFS(S15:S18, J15:J18, "&lt;&gt;Yes", G15:G18, "&lt;&gt;Yes"), SUMIFS(S15:S18, J15:J18, "&lt;&gt;Yes"))</f>
        <v>2.5</v>
      </c>
      <c r="U14" s="33"/>
      <c r="V14" s="33"/>
      <c r="W14" s="33"/>
      <c r="X14" s="34"/>
      <c r="Y14" s="35"/>
      <c r="Z14" s="35"/>
      <c r="AA14" s="35"/>
      <c r="AB14" s="242"/>
      <c r="AC14" s="36"/>
      <c r="AD14" s="26" t="str">
        <f>IF(M14="", "Error: Task name cannot be empty.", "")</f>
        <v/>
      </c>
    </row>
    <row r="15" spans="1:30" s="15" customFormat="1" ht="1.5" customHeight="1" outlineLevel="2" x14ac:dyDescent="0.3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43.2" outlineLevel="2" x14ac:dyDescent="0.3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43</v>
      </c>
      <c r="I16" s="23" t="s">
        <v>23</v>
      </c>
      <c r="J16" s="22" t="s">
        <v>6</v>
      </c>
      <c r="K16" s="38" t="s">
        <v>537</v>
      </c>
      <c r="L16" s="22"/>
      <c r="M16" s="288" t="str">
        <f ca="1">IFERROR(OFFSET(M16,-1,,1,1)+0.1,OFFSET(M16,-1,-1,1,1)&amp;".1")</f>
        <v>1.1</v>
      </c>
      <c r="N16" s="23" t="s">
        <v>459</v>
      </c>
      <c r="O16" s="23"/>
      <c r="P16" s="23"/>
      <c r="Q16" s="144"/>
      <c r="R16" s="137"/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0</v>
      </c>
      <c r="T16" s="170"/>
      <c r="U16" s="24">
        <v>0</v>
      </c>
      <c r="V16" s="24">
        <v>1</v>
      </c>
      <c r="W16" s="24">
        <v>0</v>
      </c>
      <c r="X16" s="168"/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0</v>
      </c>
      <c r="Z16" s="25"/>
      <c r="AA16" s="169">
        <f>Y16+Y16*VLOOKUP(I16,EXTRAS_ARRAY,2,FALSE)</f>
        <v>0</v>
      </c>
      <c r="AB16" s="23"/>
      <c r="AC16" s="37"/>
      <c r="AD16" s="26" t="b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>0</v>
      </c>
    </row>
    <row r="17" spans="1:30" ht="43.2" outlineLevel="2" x14ac:dyDescent="0.3">
      <c r="A17" s="93" t="s">
        <v>0</v>
      </c>
      <c r="B17" s="21"/>
      <c r="C17" s="85"/>
      <c r="D17" s="85"/>
      <c r="E17" s="85"/>
      <c r="F17" s="86"/>
      <c r="G17" s="22" t="s">
        <v>7</v>
      </c>
      <c r="H17" s="22" t="s">
        <v>42</v>
      </c>
      <c r="I17" s="23" t="s">
        <v>135</v>
      </c>
      <c r="J17" s="22" t="s">
        <v>7</v>
      </c>
      <c r="K17" s="38"/>
      <c r="L17" s="22"/>
      <c r="M17" s="288">
        <f ca="1">IFERROR(OFFSET(M17,-1,,1,1)+0.1,OFFSET(M17,-1,-1,1,1)&amp;".1")</f>
        <v>1.2000000000000002</v>
      </c>
      <c r="N17" s="23" t="s">
        <v>460</v>
      </c>
      <c r="O17" s="23"/>
      <c r="P17" s="23"/>
      <c r="Q17" s="144"/>
      <c r="R17" s="137"/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2.5</v>
      </c>
      <c r="T17" s="170"/>
      <c r="U17" s="24">
        <v>0</v>
      </c>
      <c r="V17" s="24">
        <v>1</v>
      </c>
      <c r="W17" s="24">
        <v>0</v>
      </c>
      <c r="X17" s="168">
        <v>2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5"/>
      <c r="AA17" s="169">
        <f>Y17+Y17*VLOOKUP(I17,EXTRAS_ARRAY,2,FALSE)</f>
        <v>2.2000000000000002</v>
      </c>
      <c r="AB17" s="23"/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s="11" customFormat="1" ht="7.5" customHeight="1" outlineLevel="2" x14ac:dyDescent="0.3">
      <c r="A18" s="93" t="s">
        <v>132</v>
      </c>
      <c r="B18" s="18"/>
      <c r="C18" s="78"/>
      <c r="D18" s="78"/>
      <c r="E18" s="78"/>
      <c r="F18" s="78"/>
      <c r="G18" s="10"/>
      <c r="H18" s="10"/>
      <c r="I18" s="10"/>
      <c r="J18" s="10"/>
      <c r="K18" s="10"/>
      <c r="L18" s="10"/>
      <c r="M18" s="289"/>
      <c r="N18" s="10"/>
      <c r="O18" s="10"/>
      <c r="P18" s="10"/>
      <c r="Q18" s="10"/>
      <c r="R18" s="10"/>
      <c r="S18" s="10"/>
      <c r="T18" s="18"/>
      <c r="U18" s="10"/>
      <c r="V18" s="10"/>
      <c r="W18" s="10"/>
      <c r="X18" s="18"/>
      <c r="Y18" s="10"/>
      <c r="Z18" s="10"/>
      <c r="AA18" s="10"/>
      <c r="AB18" s="60"/>
      <c r="AC18" s="60"/>
      <c r="AD18" s="12"/>
    </row>
    <row r="19" spans="1:30" s="17" customFormat="1" ht="15.6" outlineLevel="1" x14ac:dyDescent="0.3">
      <c r="A19" s="93" t="s">
        <v>100</v>
      </c>
      <c r="B19" s="21"/>
      <c r="C19" s="84"/>
      <c r="D19" s="84"/>
      <c r="E19" s="84"/>
      <c r="F19" s="83"/>
      <c r="G19" s="32"/>
      <c r="H19" s="32"/>
      <c r="I19" s="32"/>
      <c r="J19" s="32"/>
      <c r="K19" s="32"/>
      <c r="L19" s="20">
        <f ca="1">LOOKUP(1000,INDIRECT("L1:"&amp;CELL("address",INDIRECT("R[-1]C",FALSE))))+1</f>
        <v>2</v>
      </c>
      <c r="M19" s="318" t="s">
        <v>461</v>
      </c>
      <c r="N19" s="318"/>
      <c r="O19" s="5"/>
      <c r="P19" s="33"/>
      <c r="Q19" s="33"/>
      <c r="R19" s="33"/>
      <c r="S19" s="33"/>
      <c r="T19" s="167">
        <f>IF($S$6="Exclude", SUMIFS(S20:S23, J20:J23, "&lt;&gt;Yes", G20:G23, "&lt;&gt;Yes"), SUMIFS(S20:S23, J20:J23, "&lt;&gt;Yes"))</f>
        <v>6</v>
      </c>
      <c r="U19" s="33"/>
      <c r="V19" s="33"/>
      <c r="W19" s="33"/>
      <c r="X19" s="34"/>
      <c r="Y19" s="35"/>
      <c r="Z19" s="35"/>
      <c r="AA19" s="35"/>
      <c r="AB19" s="242"/>
      <c r="AC19" s="36"/>
      <c r="AD19" s="26" t="str">
        <f>IF(M19="", "Error: Task name cannot be empty.", "")</f>
        <v/>
      </c>
    </row>
    <row r="20" spans="1:30" s="15" customFormat="1" ht="1.5" customHeight="1" outlineLevel="2" x14ac:dyDescent="0.3">
      <c r="A20" s="93" t="s">
        <v>101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175">
        <f ca="1">L19</f>
        <v>2</v>
      </c>
      <c r="M20" s="176" t="s">
        <v>105</v>
      </c>
      <c r="N20" s="173"/>
      <c r="O20" s="174"/>
      <c r="P20" s="33"/>
      <c r="Q20" s="33"/>
      <c r="R20" s="33"/>
      <c r="S20" s="33"/>
      <c r="T20" s="167"/>
      <c r="U20" s="33"/>
      <c r="V20" s="33"/>
      <c r="W20" s="33"/>
      <c r="X20" s="34"/>
      <c r="Y20" s="35"/>
      <c r="Z20" s="35"/>
      <c r="AA20" s="35"/>
      <c r="AB20" s="36"/>
      <c r="AC20" s="36"/>
      <c r="AD20" s="26"/>
    </row>
    <row r="21" spans="1:30" ht="43.2" outlineLevel="2" x14ac:dyDescent="0.3">
      <c r="A21" s="93" t="s">
        <v>0</v>
      </c>
      <c r="B21" s="21"/>
      <c r="C21" s="85"/>
      <c r="D21" s="85"/>
      <c r="E21" s="85"/>
      <c r="F21" s="86"/>
      <c r="G21" s="22" t="s">
        <v>23</v>
      </c>
      <c r="H21" s="22" t="s">
        <v>23</v>
      </c>
      <c r="I21" s="23" t="s">
        <v>23</v>
      </c>
      <c r="J21" s="22" t="s">
        <v>23</v>
      </c>
      <c r="K21" s="38"/>
      <c r="L21" s="22"/>
      <c r="M21" s="288" t="str">
        <f ca="1">IFERROR(OFFSET(M21,-1,,1,1)+0.1,OFFSET(M21,-1,-1,1,1)&amp;".1")</f>
        <v>2.1</v>
      </c>
      <c r="N21" s="23" t="s">
        <v>462</v>
      </c>
      <c r="O21" s="23" t="s">
        <v>539</v>
      </c>
      <c r="P21" s="23"/>
      <c r="Q21" s="144"/>
      <c r="R21" s="137"/>
      <c r="S21" s="169">
        <f>CEILING((IF(J21="Yes", 0, IF(H21="-",AA21,AA21+AA21*VLOOKUP(H21,BUFFERS_BY_TYPE,2,FALSE)))) +
   (IF(J21="Yes", 0, IF(H21="-",AA21,AA21+AA21*VLOOKUP(H21,BUFFERS_BY_TYPE,2,FALSE))))*VLOOKUP($S$5, SALES_CALL_SCALE_ARRAY, 2,FALSE),0.25)</f>
        <v>4</v>
      </c>
      <c r="T21" s="170"/>
      <c r="U21" s="24">
        <v>0</v>
      </c>
      <c r="V21" s="24">
        <v>1</v>
      </c>
      <c r="W21" s="24">
        <v>0</v>
      </c>
      <c r="X21" s="168">
        <v>4</v>
      </c>
      <c r="Y21" s="169">
        <f>CEILING((IF(P21=AS_DEV_EFFORT, DEV_EFFORT*Q21%,
                           IF(P21=AS_DURATION_EFFORT, (MANUAL_DURATION*5)*Q21%,
                                    (IF(Q21&lt;=1,X21,
                                          IF(SUM(U21:W21)=0,(Q21*X21),
                                               (((Q21*U21)*(X21+(X21*EXTRA_FOR_H)))+
                                               ((Q21*V21)*X21)+
                                               ((Q21*W21)*(X21-(X21*LESS_FOR_L)))
                                    )*IF(R21=0,1,R21))))))+Z21), 0.25)</f>
        <v>4</v>
      </c>
      <c r="Z21" s="25"/>
      <c r="AA21" s="169">
        <f>Y21+Y21*VLOOKUP(I21,EXTRAS_ARRAY,2,FALSE)</f>
        <v>4</v>
      </c>
      <c r="AB21" s="23"/>
      <c r="AC21" s="37"/>
      <c r="AD21" s="26" t="str">
        <f>IF(J21&lt;&gt;"Yes",
IF(S21&lt;=0,"Error: Effort value is not defined or is invalid.",
IF(AND(SUM(U21:W21)&gt;0,SUM(U21:W21)&lt;&gt;1),"Error: Complexity % distribution should sum to 100%.",
IF(AND(P21=AS_DEV_EFFORT,X21&lt;&gt;0),"Error: PDs should not be defined when defining as dev effort %.",
IF(AND(P21=AS_DURATION_EFFORT,X21&lt;&gt;0),"Error: PDs should not be defined when defining as duration effort %.","")))))</f>
        <v/>
      </c>
    </row>
    <row r="22" spans="1:30" ht="43.2" outlineLevel="2" x14ac:dyDescent="0.3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 t="s">
        <v>538</v>
      </c>
      <c r="L22" s="22"/>
      <c r="M22" s="288">
        <f ca="1">IFERROR(OFFSET(M22,-1,,1,1)+0.1,OFFSET(M22,-1,-1,1,1)&amp;".1")</f>
        <v>2.2000000000000002</v>
      </c>
      <c r="N22" s="23" t="s">
        <v>463</v>
      </c>
      <c r="O22" s="23"/>
      <c r="P22" s="23"/>
      <c r="Q22" s="144"/>
      <c r="R22" s="137"/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2</v>
      </c>
      <c r="T22" s="170"/>
      <c r="U22" s="24">
        <v>0</v>
      </c>
      <c r="V22" s="24">
        <v>1</v>
      </c>
      <c r="W22" s="24">
        <v>0</v>
      </c>
      <c r="X22" s="168">
        <v>2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</v>
      </c>
      <c r="Z22" s="25"/>
      <c r="AA22" s="169">
        <f>Y22+Y22*VLOOKUP(I22,EXTRAS_ARRAY,2,FALSE)</f>
        <v>2</v>
      </c>
      <c r="AB22" s="23"/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s="11" customFormat="1" ht="7.5" customHeight="1" outlineLevel="2" x14ac:dyDescent="0.3">
      <c r="A23" s="93" t="s">
        <v>132</v>
      </c>
      <c r="B23" s="18"/>
      <c r="C23" s="78"/>
      <c r="D23" s="78"/>
      <c r="E23" s="78"/>
      <c r="F23" s="78"/>
      <c r="G23" s="10"/>
      <c r="H23" s="10"/>
      <c r="I23" s="10"/>
      <c r="J23" s="10"/>
      <c r="K23" s="10"/>
      <c r="L23" s="10"/>
      <c r="M23" s="289"/>
      <c r="N23" s="10"/>
      <c r="O23" s="10"/>
      <c r="P23" s="10"/>
      <c r="Q23" s="10"/>
      <c r="R23" s="10"/>
      <c r="S23" s="10"/>
      <c r="T23" s="18"/>
      <c r="U23" s="10"/>
      <c r="V23" s="10"/>
      <c r="W23" s="10"/>
      <c r="X23" s="18"/>
      <c r="Y23" s="10"/>
      <c r="Z23" s="10"/>
      <c r="AA23" s="10"/>
      <c r="AB23" s="60"/>
      <c r="AC23" s="60"/>
      <c r="AD23" s="12"/>
    </row>
    <row r="24" spans="1:30" s="17" customFormat="1" ht="15.6" outlineLevel="1" x14ac:dyDescent="0.3">
      <c r="A24" s="93" t="s">
        <v>100</v>
      </c>
      <c r="B24" s="21"/>
      <c r="C24" s="84"/>
      <c r="D24" s="84"/>
      <c r="E24" s="84"/>
      <c r="F24" s="83"/>
      <c r="G24" s="32"/>
      <c r="H24" s="32"/>
      <c r="I24" s="32"/>
      <c r="J24" s="32"/>
      <c r="K24" s="32"/>
      <c r="L24" s="20">
        <f ca="1">LOOKUP(1000,INDIRECT("L1:"&amp;CELL("address",INDIRECT("R[-1]C",FALSE))))+1</f>
        <v>3</v>
      </c>
      <c r="M24" s="318" t="s">
        <v>464</v>
      </c>
      <c r="N24" s="318"/>
      <c r="O24" s="5"/>
      <c r="P24" s="33"/>
      <c r="Q24" s="33"/>
      <c r="R24" s="33"/>
      <c r="S24" s="33"/>
      <c r="T24" s="167">
        <f>IF($S$6="Exclude", SUMIFS(S25:S30, J25:J30, "&lt;&gt;Yes", G25:G30, "&lt;&gt;Yes"), SUMIFS(S25:S30, J25:J30, "&lt;&gt;Yes"))</f>
        <v>37</v>
      </c>
      <c r="U24" s="33"/>
      <c r="V24" s="33"/>
      <c r="W24" s="33"/>
      <c r="X24" s="34"/>
      <c r="Y24" s="35"/>
      <c r="Z24" s="35"/>
      <c r="AA24" s="35"/>
      <c r="AB24" s="242"/>
      <c r="AC24" s="36"/>
      <c r="AD24" s="26" t="str">
        <f>IF(M24="", "Error: Task name cannot be empty.", "")</f>
        <v/>
      </c>
    </row>
    <row r="25" spans="1:30" s="15" customFormat="1" ht="1.5" customHeight="1" outlineLevel="2" x14ac:dyDescent="0.3">
      <c r="A25" s="93" t="s">
        <v>101</v>
      </c>
      <c r="B25" s="21"/>
      <c r="C25" s="84"/>
      <c r="D25" s="84"/>
      <c r="E25" s="84"/>
      <c r="F25" s="83"/>
      <c r="G25" s="32"/>
      <c r="H25" s="32"/>
      <c r="I25" s="32"/>
      <c r="J25" s="32"/>
      <c r="K25" s="32"/>
      <c r="L25" s="175">
        <f ca="1">L24</f>
        <v>3</v>
      </c>
      <c r="M25" s="176" t="s">
        <v>105</v>
      </c>
      <c r="N25" s="173"/>
      <c r="O25" s="174"/>
      <c r="P25" s="33"/>
      <c r="Q25" s="33"/>
      <c r="R25" s="33"/>
      <c r="S25" s="33"/>
      <c r="T25" s="167"/>
      <c r="U25" s="33"/>
      <c r="V25" s="33"/>
      <c r="W25" s="33"/>
      <c r="X25" s="34"/>
      <c r="Y25" s="35"/>
      <c r="Z25" s="35"/>
      <c r="AA25" s="35"/>
      <c r="AB25" s="36"/>
      <c r="AC25" s="36"/>
      <c r="AD25" s="26"/>
    </row>
    <row r="26" spans="1:30" ht="115.2" outlineLevel="2" x14ac:dyDescent="0.3">
      <c r="A26" s="93" t="s">
        <v>0</v>
      </c>
      <c r="B26" s="21"/>
      <c r="C26" s="85"/>
      <c r="D26" s="85"/>
      <c r="E26" s="85"/>
      <c r="F26" s="86"/>
      <c r="G26" s="22" t="s">
        <v>23</v>
      </c>
      <c r="H26" s="22" t="s">
        <v>23</v>
      </c>
      <c r="I26" s="23" t="s">
        <v>23</v>
      </c>
      <c r="J26" s="22" t="s">
        <v>23</v>
      </c>
      <c r="K26" s="38"/>
      <c r="L26" s="22"/>
      <c r="M26" s="288" t="str">
        <f ca="1">IFERROR(OFFSET(M26,-1,,1,1)+0.1,OFFSET(M26,-1,-1,1,1)&amp;".1")</f>
        <v>3.1</v>
      </c>
      <c r="N26" s="23" t="s">
        <v>465</v>
      </c>
      <c r="O26" s="23" t="s">
        <v>540</v>
      </c>
      <c r="P26" s="23">
        <f>Total_FRs * R26</f>
        <v>0</v>
      </c>
      <c r="Q26" s="144">
        <f>Total_FRs</f>
        <v>0</v>
      </c>
      <c r="R26" s="137"/>
      <c r="S26" s="169">
        <f>CEILING((IF(J26="Yes", 0, IF(H26="-",AA26,AA26+AA26*VLOOKUP(H26,BUFFERS_BY_TYPE,2,FALSE)))) +
   (IF(J26="Yes", 0, IF(H26="-",AA26,AA26+AA26*VLOOKUP(H26,BUFFERS_BY_TYPE,2,FALSE))))*VLOOKUP($S$5, SALES_CALL_SCALE_ARRAY, 2,FALSE),0.25)</f>
        <v>22</v>
      </c>
      <c r="T26" s="170"/>
      <c r="U26" s="24">
        <v>0</v>
      </c>
      <c r="V26" s="24">
        <v>1</v>
      </c>
      <c r="W26" s="24">
        <v>0</v>
      </c>
      <c r="X26" s="168">
        <f>3+5+3+8+3</f>
        <v>22</v>
      </c>
      <c r="Y26" s="169">
        <f>CEILING((IF(P26=AS_DEV_EFFORT, DEV_EFFORT*Q26%,
                           IF(P26=AS_DURATION_EFFORT, (MANUAL_DURATION*5)*Q26%,
                                    (IF(Q26&lt;=1,X26,
                                          IF(SUM(U26:W26)=0,(Q26*X26),
                                               (((Q26*U26)*(X26+(X26*EXTRA_FOR_H)))+
                                               ((Q26*V26)*X26)+
                                               ((Q26*W26)*(X26-(X26*LESS_FOR_L)))
                                    )*IF(R26=0,1,R26))))))+Z26), 0.25)</f>
        <v>22</v>
      </c>
      <c r="Z26" s="25"/>
      <c r="AA26" s="169">
        <f>Y26+Y26*VLOOKUP(I26,EXTRAS_ARRAY,2,FALSE)</f>
        <v>22</v>
      </c>
      <c r="AB26" s="23"/>
      <c r="AC26" s="37"/>
      <c r="AD26" s="26" t="str">
        <f>IF(J26&lt;&gt;"Yes",
IF(S26&lt;=0,"Error: Effort value is not defined or is invalid.",
IF(AND(SUM(U26:W26)&gt;0,SUM(U26:W26)&lt;&gt;1),"Error: Complexity % distribution should sum to 100%.",
IF(AND(P26=AS_DEV_EFFORT,X26&lt;&gt;0),"Error: PDs should not be defined when defining as dev effort %.",
IF(AND(P26=AS_DURATION_EFFORT,X26&lt;&gt;0),"Error: PDs should not be defined when defining as duration effort %.","")))))</f>
        <v/>
      </c>
    </row>
    <row r="27" spans="1:30" ht="43.2" outlineLevel="2" x14ac:dyDescent="0.3">
      <c r="A27" s="93" t="s">
        <v>0</v>
      </c>
      <c r="B27" s="21"/>
      <c r="C27" s="85"/>
      <c r="D27" s="85"/>
      <c r="E27" s="85"/>
      <c r="F27" s="86"/>
      <c r="G27" s="22" t="s">
        <v>23</v>
      </c>
      <c r="H27" s="22" t="s">
        <v>23</v>
      </c>
      <c r="I27" s="23" t="s">
        <v>23</v>
      </c>
      <c r="J27" s="22" t="s">
        <v>23</v>
      </c>
      <c r="K27" s="38"/>
      <c r="L27" s="22"/>
      <c r="M27" s="288">
        <f ca="1">IFERROR(OFFSET(M27,-1,,1,1)+0.1,OFFSET(M27,-1,-1,1,1)&amp;".1")</f>
        <v>3.2</v>
      </c>
      <c r="N27" s="23" t="s">
        <v>466</v>
      </c>
      <c r="O27" s="23"/>
      <c r="P27" s="23"/>
      <c r="Q27" s="144"/>
      <c r="R27" s="137"/>
      <c r="S27" s="169">
        <f>CEILING((IF(J27="Yes", 0, IF(H27="-",AA27,AA27+AA27*VLOOKUP(H27,BUFFERS_BY_TYPE,2,FALSE)))) +
   (IF(J27="Yes", 0, IF(H27="-",AA27,AA27+AA27*VLOOKUP(H27,BUFFERS_BY_TYPE,2,FALSE))))*VLOOKUP($S$5, SALES_CALL_SCALE_ARRAY, 2,FALSE),0.25)</f>
        <v>5</v>
      </c>
      <c r="T27" s="170"/>
      <c r="U27" s="24">
        <v>0</v>
      </c>
      <c r="V27" s="24">
        <v>1</v>
      </c>
      <c r="W27" s="24">
        <v>0</v>
      </c>
      <c r="X27" s="168">
        <v>5</v>
      </c>
      <c r="Y27" s="169">
        <f>CEILING((IF(P27=AS_DEV_EFFORT, DEV_EFFORT*Q27%,
                           IF(P27=AS_DURATION_EFFORT, (MANUAL_DURATION*5)*Q27%,
                                    (IF(Q27&lt;=1,X27,
                                          IF(SUM(U27:W27)=0,(Q27*X27),
                                               (((Q27*U27)*(X27+(X27*EXTRA_FOR_H)))+
                                               ((Q27*V27)*X27)+
                                               ((Q27*W27)*(X27-(X27*LESS_FOR_L)))
                                    )*IF(R27=0,1,R27))))))+Z27), 0.25)</f>
        <v>5</v>
      </c>
      <c r="Z27" s="25"/>
      <c r="AA27" s="169">
        <f>Y27+Y27*VLOOKUP(I27,EXTRAS_ARRAY,2,FALSE)</f>
        <v>5</v>
      </c>
      <c r="AB27" s="23"/>
      <c r="AC27" s="37"/>
      <c r="AD27" s="26" t="str">
        <f>IF(J27&lt;&gt;"Yes",
IF(S27&lt;=0,"Error: Effort value is not defined or is invalid.",
IF(AND(SUM(U27:W27)&gt;0,SUM(U27:W27)&lt;&gt;1),"Error: Complexity % distribution should sum to 100%.",
IF(AND(P27=AS_DEV_EFFORT,X27&lt;&gt;0),"Error: PDs should not be defined when defining as dev effort %.",
IF(AND(P27=AS_DURATION_EFFORT,X27&lt;&gt;0),"Error: PDs should not be defined when defining as duration effort %.","")))))</f>
        <v/>
      </c>
    </row>
    <row r="28" spans="1:30" ht="43.2" outlineLevel="2" x14ac:dyDescent="0.3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8">
        <f ca="1">IFERROR(OFFSET(M28,-1,,1,1)+0.1,OFFSET(M28,-1,-1,1,1)&amp;".1")</f>
        <v>3.3000000000000003</v>
      </c>
      <c r="N28" s="23" t="s">
        <v>467</v>
      </c>
      <c r="O28" s="23" t="s">
        <v>541</v>
      </c>
      <c r="P28" s="23"/>
      <c r="Q28" s="144"/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5</v>
      </c>
      <c r="T28" s="170"/>
      <c r="U28" s="24">
        <v>0</v>
      </c>
      <c r="V28" s="24">
        <v>1</v>
      </c>
      <c r="W28" s="24">
        <v>0</v>
      </c>
      <c r="X28" s="168">
        <v>5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5</v>
      </c>
      <c r="Z28" s="25"/>
      <c r="AA28" s="169">
        <f>Y28+Y28*VLOOKUP(I28,EXTRAS_ARRAY,2,FALSE)</f>
        <v>5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2" outlineLevel="2" x14ac:dyDescent="0.3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8">
        <f ca="1">IFERROR(OFFSET(M29,-1,,1,1)+0.1,OFFSET(M29,-1,-1,1,1)&amp;".1")</f>
        <v>3.4000000000000004</v>
      </c>
      <c r="N29" s="23" t="s">
        <v>468</v>
      </c>
      <c r="O29" s="23"/>
      <c r="P29" s="23"/>
      <c r="Q29" s="144"/>
      <c r="R29" s="137"/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5</v>
      </c>
      <c r="T29" s="170"/>
      <c r="U29" s="24">
        <v>0</v>
      </c>
      <c r="V29" s="24">
        <v>1</v>
      </c>
      <c r="W29" s="24">
        <v>0</v>
      </c>
      <c r="X29" s="168">
        <v>5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5</v>
      </c>
      <c r="Z29" s="25"/>
      <c r="AA29" s="169">
        <f>Y29+Y29*VLOOKUP(I29,EXTRAS_ARRAY,2,FALSE)</f>
        <v>5</v>
      </c>
      <c r="AB29" s="23"/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s="11" customFormat="1" ht="7.5" customHeight="1" outlineLevel="2" x14ac:dyDescent="0.3">
      <c r="A30" s="93" t="s">
        <v>132</v>
      </c>
      <c r="B30" s="18"/>
      <c r="C30" s="78"/>
      <c r="D30" s="78"/>
      <c r="E30" s="78"/>
      <c r="F30" s="78"/>
      <c r="G30" s="10"/>
      <c r="H30" s="10"/>
      <c r="I30" s="10"/>
      <c r="J30" s="10"/>
      <c r="K30" s="10"/>
      <c r="L30" s="10"/>
      <c r="M30" s="289"/>
      <c r="N30" s="10"/>
      <c r="O30" s="10"/>
      <c r="P30" s="10"/>
      <c r="Q30" s="10"/>
      <c r="R30" s="10"/>
      <c r="S30" s="10"/>
      <c r="T30" s="18"/>
      <c r="U30" s="10"/>
      <c r="V30" s="10"/>
      <c r="W30" s="10"/>
      <c r="X30" s="18"/>
      <c r="Y30" s="10"/>
      <c r="Z30" s="10"/>
      <c r="AA30" s="10"/>
      <c r="AB30" s="60"/>
      <c r="AC30" s="60"/>
      <c r="AD30" s="12"/>
    </row>
    <row r="31" spans="1:30" s="11" customFormat="1" ht="3" customHeight="1" outlineLevel="1" x14ac:dyDescent="0.3">
      <c r="A31" s="93" t="s">
        <v>102</v>
      </c>
      <c r="B31" s="10"/>
      <c r="C31" s="78"/>
      <c r="D31" s="78"/>
      <c r="E31" s="78"/>
      <c r="F31" s="78"/>
      <c r="G31" s="59"/>
      <c r="H31" s="59"/>
      <c r="I31" s="59"/>
      <c r="J31" s="59"/>
      <c r="K31" s="59"/>
      <c r="L31" s="61"/>
      <c r="M31" s="290"/>
      <c r="N31" s="62"/>
      <c r="O31" s="62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2"/>
      <c r="AC31" s="62"/>
      <c r="AD31" s="12"/>
    </row>
    <row r="32" spans="1:30" s="17" customFormat="1" ht="18" collapsed="1" x14ac:dyDescent="0.3">
      <c r="A32" s="93" t="s">
        <v>98</v>
      </c>
      <c r="B32" s="14"/>
      <c r="C32" s="79"/>
      <c r="D32" s="79"/>
      <c r="E32" s="79"/>
      <c r="F32" s="78"/>
      <c r="G32" s="55"/>
      <c r="H32" s="55"/>
      <c r="I32" s="55"/>
      <c r="J32" s="55"/>
      <c r="K32" s="55"/>
      <c r="L32" s="55" t="s">
        <v>68</v>
      </c>
      <c r="M32" s="286" t="s">
        <v>72</v>
      </c>
      <c r="N32" s="56"/>
      <c r="O32" s="57"/>
      <c r="P32" s="58"/>
      <c r="Q32" s="58"/>
      <c r="R32" s="58"/>
      <c r="S32" s="319">
        <f>CEILING(SUMIF(J33:J67, "&lt;&gt;Yes", T33:T67),1)</f>
        <v>52</v>
      </c>
      <c r="T32" s="319"/>
      <c r="U32" s="58"/>
      <c r="V32" s="58"/>
      <c r="W32" s="58"/>
      <c r="X32" s="58"/>
      <c r="Y32" s="58"/>
      <c r="Z32" s="58"/>
      <c r="AA32" s="58"/>
      <c r="AB32" s="58"/>
      <c r="AC32" s="58"/>
      <c r="AD32" s="16"/>
    </row>
    <row r="33" spans="1:30" s="11" customFormat="1" ht="3" hidden="1" customHeight="1" outlineLevel="1" x14ac:dyDescent="0.3">
      <c r="A33" s="93" t="s">
        <v>99</v>
      </c>
      <c r="B33" s="18"/>
      <c r="C33" s="78"/>
      <c r="D33" s="78"/>
      <c r="E33" s="78"/>
      <c r="F33" s="78"/>
      <c r="G33" s="28"/>
      <c r="H33" s="28"/>
      <c r="I33" s="28"/>
      <c r="J33" s="28"/>
      <c r="K33" s="28"/>
      <c r="L33" s="29">
        <v>0</v>
      </c>
      <c r="M33" s="287"/>
      <c r="N33" s="28"/>
      <c r="O33" s="28"/>
      <c r="P33" s="28"/>
      <c r="Q33" s="28"/>
      <c r="R33" s="28"/>
      <c r="S33" s="28"/>
      <c r="T33" s="30"/>
      <c r="U33" s="28"/>
      <c r="V33" s="28"/>
      <c r="W33" s="28"/>
      <c r="X33" s="30"/>
      <c r="Y33" s="28"/>
      <c r="Z33" s="28"/>
      <c r="AA33" s="28"/>
      <c r="AB33" s="31"/>
      <c r="AC33" s="31"/>
      <c r="AD33" s="12"/>
    </row>
    <row r="34" spans="1:30" s="17" customFormat="1" ht="15.6" hidden="1" outlineLevel="1" x14ac:dyDescent="0.3">
      <c r="A34" s="93" t="s">
        <v>100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20">
        <f ca="1">LOOKUP(1000,INDIRECT("L1:"&amp;CELL("address",INDIRECT("R[-1]C",FALSE))))+1</f>
        <v>1</v>
      </c>
      <c r="M34" s="318" t="s">
        <v>458</v>
      </c>
      <c r="N34" s="318"/>
      <c r="O34" s="5"/>
      <c r="P34" s="33"/>
      <c r="Q34" s="33"/>
      <c r="R34" s="33"/>
      <c r="S34" s="33"/>
      <c r="T34" s="167">
        <f>IF($S$6="Exclude", SUMIFS(S35:S38, J35:J38, "&lt;&gt;Yes", G35:G38, "&lt;&gt;Yes"), SUMIFS(S35:S38, J35:J38, "&lt;&gt;Yes"))</f>
        <v>8</v>
      </c>
      <c r="U34" s="33"/>
      <c r="V34" s="33"/>
      <c r="W34" s="33"/>
      <c r="X34" s="34"/>
      <c r="Y34" s="35"/>
      <c r="Z34" s="35"/>
      <c r="AA34" s="35"/>
      <c r="AB34" s="242"/>
      <c r="AC34" s="36"/>
      <c r="AD34" s="26" t="str">
        <f>IF(M34="", "Error: Task name cannot be empty.", "")</f>
        <v/>
      </c>
    </row>
    <row r="35" spans="1:30" s="15" customFormat="1" ht="1.5" hidden="1" customHeight="1" outlineLevel="2" x14ac:dyDescent="0.3">
      <c r="A35" s="93" t="s">
        <v>101</v>
      </c>
      <c r="B35" s="21"/>
      <c r="C35" s="84"/>
      <c r="D35" s="84"/>
      <c r="E35" s="84"/>
      <c r="F35" s="83"/>
      <c r="G35" s="32"/>
      <c r="H35" s="32"/>
      <c r="I35" s="32"/>
      <c r="J35" s="32"/>
      <c r="K35" s="32"/>
      <c r="L35" s="175">
        <f ca="1">L34</f>
        <v>1</v>
      </c>
      <c r="M35" s="176" t="s">
        <v>105</v>
      </c>
      <c r="N35" s="173"/>
      <c r="O35" s="174"/>
      <c r="P35" s="33"/>
      <c r="Q35" s="33"/>
      <c r="R35" s="33"/>
      <c r="S35" s="33"/>
      <c r="T35" s="167"/>
      <c r="U35" s="33"/>
      <c r="V35" s="33"/>
      <c r="W35" s="33"/>
      <c r="X35" s="34"/>
      <c r="Y35" s="35"/>
      <c r="Z35" s="35"/>
      <c r="AA35" s="35"/>
      <c r="AB35" s="36"/>
      <c r="AC35" s="36"/>
      <c r="AD35" s="26"/>
    </row>
    <row r="36" spans="1:30" ht="43.2" hidden="1" outlineLevel="2" x14ac:dyDescent="0.3">
      <c r="A36" s="93" t="s">
        <v>0</v>
      </c>
      <c r="B36" s="21"/>
      <c r="C36" s="85"/>
      <c r="D36" s="85"/>
      <c r="E36" s="85"/>
      <c r="F36" s="86"/>
      <c r="G36" s="22" t="s">
        <v>7</v>
      </c>
      <c r="H36" s="22" t="s">
        <v>43</v>
      </c>
      <c r="I36" s="23" t="s">
        <v>135</v>
      </c>
      <c r="J36" s="22" t="s">
        <v>7</v>
      </c>
      <c r="K36" s="38"/>
      <c r="L36" s="22"/>
      <c r="M36" s="288" t="str">
        <f ca="1">IFERROR(OFFSET(M36,-1,,1,1)+0.1,OFFSET(M36,-1,-1,1,1)&amp;".1")</f>
        <v>1.1</v>
      </c>
      <c r="N36" s="23" t="s">
        <v>472</v>
      </c>
      <c r="O36" s="23"/>
      <c r="P36" s="23"/>
      <c r="Q36" s="144"/>
      <c r="R36" s="137"/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4</v>
      </c>
      <c r="T36" s="170"/>
      <c r="U36" s="24">
        <v>0</v>
      </c>
      <c r="V36" s="24">
        <v>1</v>
      </c>
      <c r="W36" s="24">
        <v>0</v>
      </c>
      <c r="X36" s="168">
        <v>3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3</v>
      </c>
      <c r="Z36" s="25"/>
      <c r="AA36" s="169">
        <f>Y36+Y36*VLOOKUP(I36,EXTRAS_ARRAY,2,FALSE)</f>
        <v>3.3</v>
      </c>
      <c r="AB36" s="23"/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28.8" hidden="1" outlineLevel="2" x14ac:dyDescent="0.3">
      <c r="A37" s="93" t="s">
        <v>0</v>
      </c>
      <c r="B37" s="21"/>
      <c r="C37" s="85"/>
      <c r="D37" s="85"/>
      <c r="E37" s="85"/>
      <c r="F37" s="86"/>
      <c r="G37" s="22" t="s">
        <v>7</v>
      </c>
      <c r="H37" s="22" t="s">
        <v>43</v>
      </c>
      <c r="I37" s="23" t="s">
        <v>135</v>
      </c>
      <c r="J37" s="22" t="s">
        <v>7</v>
      </c>
      <c r="K37" s="38"/>
      <c r="L37" s="22"/>
      <c r="M37" s="288">
        <f ca="1">IFERROR(OFFSET(M37,-1,,1,1)+0.1,OFFSET(M37,-1,-1,1,1)&amp;".1")</f>
        <v>1.2000000000000002</v>
      </c>
      <c r="N37" s="23" t="s">
        <v>473</v>
      </c>
      <c r="O37" s="23"/>
      <c r="P37" s="23" t="s">
        <v>474</v>
      </c>
      <c r="Q37" s="144"/>
      <c r="R37" s="137"/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4</v>
      </c>
      <c r="T37" s="170"/>
      <c r="U37" s="24">
        <v>0</v>
      </c>
      <c r="V37" s="24">
        <v>1</v>
      </c>
      <c r="W37" s="24">
        <v>0</v>
      </c>
      <c r="X37" s="168">
        <v>3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3</v>
      </c>
      <c r="Z37" s="25"/>
      <c r="AA37" s="169">
        <f>Y37+Y37*VLOOKUP(I37,EXTRAS_ARRAY,2,FALSE)</f>
        <v>3.3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s="11" customFormat="1" ht="7.5" hidden="1" customHeight="1" outlineLevel="2" x14ac:dyDescent="0.3">
      <c r="A38" s="93" t="s">
        <v>132</v>
      </c>
      <c r="B38" s="18"/>
      <c r="C38" s="78"/>
      <c r="D38" s="78"/>
      <c r="E38" s="78"/>
      <c r="F38" s="78"/>
      <c r="G38" s="10"/>
      <c r="H38" s="10"/>
      <c r="I38" s="10"/>
      <c r="J38" s="10"/>
      <c r="K38" s="10"/>
      <c r="L38" s="10"/>
      <c r="M38" s="289"/>
      <c r="N38" s="10"/>
      <c r="O38" s="10"/>
      <c r="P38" s="10"/>
      <c r="Q38" s="10"/>
      <c r="R38" s="10"/>
      <c r="S38" s="10"/>
      <c r="T38" s="18"/>
      <c r="U38" s="10"/>
      <c r="V38" s="10"/>
      <c r="W38" s="10"/>
      <c r="X38" s="18"/>
      <c r="Y38" s="10"/>
      <c r="Z38" s="10"/>
      <c r="AA38" s="10"/>
      <c r="AB38" s="60"/>
      <c r="AC38" s="60"/>
      <c r="AD38" s="12"/>
    </row>
    <row r="39" spans="1:30" s="17" customFormat="1" ht="15.6" hidden="1" outlineLevel="1" x14ac:dyDescent="0.3">
      <c r="A39" s="93" t="s">
        <v>100</v>
      </c>
      <c r="B39" s="21"/>
      <c r="C39" s="84"/>
      <c r="D39" s="84"/>
      <c r="E39" s="84"/>
      <c r="F39" s="83"/>
      <c r="G39" s="32"/>
      <c r="H39" s="32"/>
      <c r="I39" s="32"/>
      <c r="J39" s="32"/>
      <c r="K39" s="32"/>
      <c r="L39" s="20">
        <f ca="1">LOOKUP(1000,INDIRECT("L1:"&amp;CELL("address",INDIRECT("R[-1]C",FALSE))))+1</f>
        <v>2</v>
      </c>
      <c r="M39" s="318" t="s">
        <v>469</v>
      </c>
      <c r="N39" s="318"/>
      <c r="O39" s="5"/>
      <c r="P39" s="33"/>
      <c r="Q39" s="33"/>
      <c r="R39" s="33"/>
      <c r="S39" s="33"/>
      <c r="T39" s="167">
        <f>IF($S$6="Exclude", SUMIFS(S40:S43, J40:J43, "&lt;&gt;Yes", G40:G43, "&lt;&gt;Yes"), SUMIFS(S40:S43, J40:J43, "&lt;&gt;Yes"))</f>
        <v>2.5</v>
      </c>
      <c r="U39" s="33"/>
      <c r="V39" s="33"/>
      <c r="W39" s="33"/>
      <c r="X39" s="34"/>
      <c r="Y39" s="35"/>
      <c r="Z39" s="35"/>
      <c r="AA39" s="35"/>
      <c r="AB39" s="242"/>
      <c r="AC39" s="36"/>
      <c r="AD39" s="26" t="str">
        <f>IF(M39="", "Error: Task name cannot be empty.", "")</f>
        <v/>
      </c>
    </row>
    <row r="40" spans="1:30" s="15" customFormat="1" ht="1.5" hidden="1" customHeight="1" outlineLevel="2" x14ac:dyDescent="0.3">
      <c r="A40" s="93" t="s">
        <v>101</v>
      </c>
      <c r="B40" s="21"/>
      <c r="C40" s="84"/>
      <c r="D40" s="84"/>
      <c r="E40" s="84"/>
      <c r="F40" s="83"/>
      <c r="G40" s="32"/>
      <c r="H40" s="32"/>
      <c r="I40" s="32"/>
      <c r="J40" s="32"/>
      <c r="K40" s="32"/>
      <c r="L40" s="175">
        <f ca="1">L39</f>
        <v>2</v>
      </c>
      <c r="M40" s="176" t="s">
        <v>105</v>
      </c>
      <c r="N40" s="173"/>
      <c r="O40" s="174"/>
      <c r="P40" s="33"/>
      <c r="Q40" s="33"/>
      <c r="R40" s="33"/>
      <c r="S40" s="33"/>
      <c r="T40" s="167"/>
      <c r="U40" s="33"/>
      <c r="V40" s="33"/>
      <c r="W40" s="33"/>
      <c r="X40" s="34"/>
      <c r="Y40" s="35"/>
      <c r="Z40" s="35"/>
      <c r="AA40" s="35"/>
      <c r="AB40" s="36"/>
      <c r="AC40" s="36"/>
      <c r="AD40" s="26"/>
    </row>
    <row r="41" spans="1:30" ht="28.8" hidden="1" outlineLevel="2" x14ac:dyDescent="0.3">
      <c r="A41" s="93" t="s">
        <v>0</v>
      </c>
      <c r="B41" s="21"/>
      <c r="C41" s="85"/>
      <c r="D41" s="85"/>
      <c r="E41" s="85"/>
      <c r="F41" s="86"/>
      <c r="G41" s="22" t="s">
        <v>7</v>
      </c>
      <c r="H41" s="22" t="s">
        <v>42</v>
      </c>
      <c r="I41" s="23" t="s">
        <v>136</v>
      </c>
      <c r="J41" s="22" t="s">
        <v>7</v>
      </c>
      <c r="K41" s="38"/>
      <c r="L41" s="22"/>
      <c r="M41" s="288" t="str">
        <f ca="1">IFERROR(OFFSET(M41,-1,,1,1)+0.1,OFFSET(M41,-1,-1,1,1)&amp;".1")</f>
        <v>2.1</v>
      </c>
      <c r="N41" s="23" t="s">
        <v>554</v>
      </c>
      <c r="O41" s="23"/>
      <c r="P41" s="23"/>
      <c r="Q41" s="144"/>
      <c r="R41" s="137"/>
      <c r="S41" s="169">
        <f>CEILING((IF(J41="Yes", 0, IF(H41="-",AA41,AA41+AA41*VLOOKUP(H41,BUFFERS_BY_TYPE,2,FALSE)))) +
   (IF(J41="Yes", 0, IF(H41="-",AA41,AA41+AA41*VLOOKUP(H41,BUFFERS_BY_TYPE,2,FALSE))))*VLOOKUP($S$5, SALES_CALL_SCALE_ARRAY, 2,FALSE),0.25)</f>
        <v>1.25</v>
      </c>
      <c r="T41" s="170"/>
      <c r="U41" s="24">
        <v>0</v>
      </c>
      <c r="V41" s="24">
        <v>1</v>
      </c>
      <c r="W41" s="24">
        <v>0</v>
      </c>
      <c r="X41" s="168">
        <v>1</v>
      </c>
      <c r="Y41" s="169">
        <f>CEILING((IF(P41=AS_DEV_EFFORT, DEV_EFFORT*Q41%,
                           IF(P41=AS_DURATION_EFFORT, (MANUAL_DURATION*5)*Q41%,
                                    (IF(Q41&lt;=1,X41,
                                          IF(SUM(U41:W41)=0,(Q41*X41),
                                               (((Q41*U41)*(X41+(X41*EXTRA_FOR_H)))+
                                               ((Q41*V41)*X41)+
                                               ((Q41*W41)*(X41-(X41*LESS_FOR_L)))
                                    )*IF(R41=0,1,R41))))))+Z41), 0.25)</f>
        <v>1</v>
      </c>
      <c r="Z41" s="25"/>
      <c r="AA41" s="169">
        <f>Y41+Y41*VLOOKUP(I41,EXTRAS_ARRAY,2,FALSE)</f>
        <v>1</v>
      </c>
      <c r="AB41" s="23"/>
      <c r="AC41" s="37"/>
      <c r="AD41" s="26" t="str">
        <f>IF(J41&lt;&gt;"Yes",
IF(S41&lt;=0,"Error: Effort value is not defined or is invalid.",
IF(AND(SUM(U41:W41)&gt;0,SUM(U41:W41)&lt;&gt;1),"Error: Complexity % distribution should sum to 100%.",
IF(AND(P41=AS_DEV_EFFORT,X41&lt;&gt;0),"Error: PDs should not be defined when defining as dev effort %.",
IF(AND(P41=AS_DURATION_EFFORT,X41&lt;&gt;0),"Error: PDs should not be defined when defining as duration effort %.","")))))</f>
        <v/>
      </c>
    </row>
    <row r="42" spans="1:30" ht="28.8" hidden="1" outlineLevel="2" x14ac:dyDescent="0.3">
      <c r="A42" s="93" t="s">
        <v>0</v>
      </c>
      <c r="B42" s="21"/>
      <c r="C42" s="85"/>
      <c r="D42" s="85"/>
      <c r="E42" s="85"/>
      <c r="F42" s="86"/>
      <c r="G42" s="22" t="s">
        <v>6</v>
      </c>
      <c r="H42" s="22" t="s">
        <v>42</v>
      </c>
      <c r="I42" s="23" t="s">
        <v>136</v>
      </c>
      <c r="J42" s="22" t="s">
        <v>7</v>
      </c>
      <c r="K42" s="38"/>
      <c r="L42" s="22"/>
      <c r="M42" s="288">
        <f ca="1">IFERROR(OFFSET(M42,-1,,1,1)+0.1,OFFSET(M42,-1,-1,1,1)&amp;".1")</f>
        <v>2.2000000000000002</v>
      </c>
      <c r="N42" s="23" t="s">
        <v>556</v>
      </c>
      <c r="O42" s="23"/>
      <c r="P42" s="23"/>
      <c r="Q42" s="144"/>
      <c r="R42" s="137"/>
      <c r="S42" s="169">
        <f>CEILING((IF(J42="Yes", 0, IF(H42="-",AA42,AA42+AA42*VLOOKUP(H42,BUFFERS_BY_TYPE,2,FALSE)))) +
   (IF(J42="Yes", 0, IF(H42="-",AA42,AA42+AA42*VLOOKUP(H42,BUFFERS_BY_TYPE,2,FALSE))))*VLOOKUP($S$5, SALES_CALL_SCALE_ARRAY, 2,FALSE),0.25)</f>
        <v>1.25</v>
      </c>
      <c r="T42" s="170"/>
      <c r="U42" s="24">
        <v>0</v>
      </c>
      <c r="V42" s="24">
        <v>1</v>
      </c>
      <c r="W42" s="24">
        <v>0</v>
      </c>
      <c r="X42" s="168">
        <v>1</v>
      </c>
      <c r="Y42" s="169">
        <f>CEILING((IF(P42=AS_DEV_EFFORT, DEV_EFFORT*Q42%,
                           IF(P42=AS_DURATION_EFFORT, (MANUAL_DURATION*5)*Q42%,
                                    (IF(Q42&lt;=1,X42,
                                          IF(SUM(U42:W42)=0,(Q42*X42),
                                               (((Q42*U42)*(X42+(X42*EXTRA_FOR_H)))+
                                               ((Q42*V42)*X42)+
                                               ((Q42*W42)*(X42-(X42*LESS_FOR_L)))
                                    )*IF(R42=0,1,R42))))))+Z42), 0.25)</f>
        <v>1</v>
      </c>
      <c r="Z42" s="25"/>
      <c r="AA42" s="169">
        <f>Y42+Y42*VLOOKUP(I42,EXTRAS_ARRAY,2,FALSE)</f>
        <v>1</v>
      </c>
      <c r="AB42" s="23" t="s">
        <v>445</v>
      </c>
      <c r="AC42" s="37"/>
      <c r="AD42" s="26" t="str">
        <f>IF(J42&lt;&gt;"Yes",
IF(S42&lt;=0,"Error: Effort value is not defined or is invalid.",
IF(AND(SUM(U42:W42)&gt;0,SUM(U42:W42)&lt;&gt;1),"Error: Complexity % distribution should sum to 100%.",
IF(AND(P42=AS_DEV_EFFORT,X42&lt;&gt;0),"Error: PDs should not be defined when defining as dev effort %.",
IF(AND(P42=AS_DURATION_EFFORT,X42&lt;&gt;0),"Error: PDs should not be defined when defining as duration effort %.","")))))</f>
        <v/>
      </c>
    </row>
    <row r="43" spans="1:30" s="11" customFormat="1" ht="7.5" hidden="1" customHeight="1" outlineLevel="2" x14ac:dyDescent="0.3">
      <c r="A43" s="93" t="s">
        <v>132</v>
      </c>
      <c r="B43" s="18"/>
      <c r="C43" s="78"/>
      <c r="D43" s="78"/>
      <c r="E43" s="78"/>
      <c r="F43" s="78"/>
      <c r="G43" s="10"/>
      <c r="H43" s="10"/>
      <c r="I43" s="10"/>
      <c r="J43" s="10"/>
      <c r="K43" s="10"/>
      <c r="L43" s="10"/>
      <c r="M43" s="289"/>
      <c r="N43" s="10"/>
      <c r="O43" s="10"/>
      <c r="P43" s="10"/>
      <c r="Q43" s="10"/>
      <c r="R43" s="10"/>
      <c r="S43" s="10"/>
      <c r="T43" s="18"/>
      <c r="U43" s="10"/>
      <c r="V43" s="10"/>
      <c r="W43" s="10"/>
      <c r="X43" s="18"/>
      <c r="Y43" s="10"/>
      <c r="Z43" s="10"/>
      <c r="AA43" s="10"/>
      <c r="AB43" s="60"/>
      <c r="AC43" s="60"/>
      <c r="AD43" s="12"/>
    </row>
    <row r="44" spans="1:30" s="17" customFormat="1" ht="15.6" hidden="1" outlineLevel="1" x14ac:dyDescent="0.3">
      <c r="A44" s="93" t="s">
        <v>100</v>
      </c>
      <c r="B44" s="21"/>
      <c r="C44" s="84"/>
      <c r="D44" s="84"/>
      <c r="E44" s="84"/>
      <c r="F44" s="83"/>
      <c r="G44" s="32"/>
      <c r="H44" s="32"/>
      <c r="I44" s="32"/>
      <c r="J44" s="32"/>
      <c r="K44" s="32"/>
      <c r="L44" s="20">
        <f ca="1">LOOKUP(1000,INDIRECT("L1:"&amp;CELL("address",INDIRECT("R[-1]C",FALSE))))+1</f>
        <v>3</v>
      </c>
      <c r="M44" s="318" t="s">
        <v>479</v>
      </c>
      <c r="N44" s="318"/>
      <c r="O44" s="5"/>
      <c r="P44" s="33"/>
      <c r="Q44" s="33"/>
      <c r="R44" s="33"/>
      <c r="S44" s="33"/>
      <c r="T44" s="167">
        <f>IF($S$6="Exclude", SUMIFS(S45:S50, J45:J50, "&lt;&gt;Yes", G45:G50, "&lt;&gt;Yes"), SUMIFS(S45:S50, J45:J50, "&lt;&gt;Yes"))</f>
        <v>21.25</v>
      </c>
      <c r="U44" s="33"/>
      <c r="V44" s="33"/>
      <c r="W44" s="33"/>
      <c r="X44" s="34"/>
      <c r="Y44" s="35"/>
      <c r="Z44" s="35"/>
      <c r="AA44" s="35"/>
      <c r="AB44" s="242"/>
      <c r="AC44" s="36"/>
      <c r="AD44" s="26" t="str">
        <f>IF(M44="", "Error: Task name cannot be empty.", "")</f>
        <v/>
      </c>
    </row>
    <row r="45" spans="1:30" s="15" customFormat="1" ht="1.5" hidden="1" customHeight="1" outlineLevel="2" x14ac:dyDescent="0.3">
      <c r="A45" s="93" t="s">
        <v>101</v>
      </c>
      <c r="B45" s="21"/>
      <c r="C45" s="84"/>
      <c r="D45" s="84"/>
      <c r="E45" s="84"/>
      <c r="F45" s="83"/>
      <c r="G45" s="32"/>
      <c r="H45" s="32"/>
      <c r="I45" s="32"/>
      <c r="J45" s="32"/>
      <c r="K45" s="32"/>
      <c r="L45" s="175">
        <f ca="1">L44</f>
        <v>3</v>
      </c>
      <c r="M45" s="176" t="s">
        <v>105</v>
      </c>
      <c r="N45" s="173"/>
      <c r="O45" s="174"/>
      <c r="P45" s="33"/>
      <c r="Q45" s="33"/>
      <c r="R45" s="33"/>
      <c r="S45" s="33"/>
      <c r="T45" s="167"/>
      <c r="U45" s="33"/>
      <c r="V45" s="33"/>
      <c r="W45" s="33"/>
      <c r="X45" s="34"/>
      <c r="Y45" s="35"/>
      <c r="Z45" s="35"/>
      <c r="AA45" s="35"/>
      <c r="AB45" s="36"/>
      <c r="AC45" s="36"/>
      <c r="AD45" s="26"/>
    </row>
    <row r="46" spans="1:30" ht="43.2" hidden="1" outlineLevel="2" x14ac:dyDescent="0.3">
      <c r="A46" s="93" t="s">
        <v>0</v>
      </c>
      <c r="B46" s="21"/>
      <c r="C46" s="85"/>
      <c r="D46" s="85"/>
      <c r="E46" s="85"/>
      <c r="F46" s="86"/>
      <c r="G46" s="22" t="s">
        <v>7</v>
      </c>
      <c r="H46" s="22" t="s">
        <v>43</v>
      </c>
      <c r="I46" s="23" t="s">
        <v>23</v>
      </c>
      <c r="J46" s="22" t="s">
        <v>7</v>
      </c>
      <c r="K46" s="38"/>
      <c r="L46" s="22"/>
      <c r="M46" s="288" t="str">
        <f ca="1">IFERROR(OFFSET(M46,-1,,1,1)+0.1,OFFSET(M46,-1,-1,1,1)&amp;".1")</f>
        <v>3.1</v>
      </c>
      <c r="N46" s="23" t="s">
        <v>475</v>
      </c>
      <c r="O46" s="23"/>
      <c r="P46" s="23"/>
      <c r="Q46" s="144"/>
      <c r="R46" s="137"/>
      <c r="S46" s="169">
        <f>CEILING((IF(J46="Yes", 0, IF(H46="-",AA46,AA46+AA46*VLOOKUP(H46,BUFFERS_BY_TYPE,2,FALSE)))) +
   (IF(J46="Yes", 0, IF(H46="-",AA46,AA46+AA46*VLOOKUP(H46,BUFFERS_BY_TYPE,2,FALSE))))*VLOOKUP($S$5, SALES_CALL_SCALE_ARRAY, 2,FALSE),0.25)</f>
        <v>7</v>
      </c>
      <c r="T46" s="170"/>
      <c r="U46" s="24">
        <v>0</v>
      </c>
      <c r="V46" s="24">
        <v>1</v>
      </c>
      <c r="W46" s="24">
        <v>0</v>
      </c>
      <c r="X46" s="168">
        <v>6</v>
      </c>
      <c r="Y46" s="169">
        <f>CEILING((IF(P46=AS_DEV_EFFORT, DEV_EFFORT*Q46%,
                           IF(P46=AS_DURATION_EFFORT, (MANUAL_DURATION*5)*Q46%,
                                    (IF(Q46&lt;=1,X46,
                                          IF(SUM(U46:W46)=0,(Q46*X46),
                                               (((Q46*U46)*(X46+(X46*EXTRA_FOR_H)))+
                                               ((Q46*V46)*X46)+
                                               ((Q46*W46)*(X46-(X46*LESS_FOR_L)))
                                    )*IF(R46=0,1,R46))))))+Z46), 0.25)</f>
        <v>6</v>
      </c>
      <c r="Z46" s="25"/>
      <c r="AA46" s="169">
        <f>Y46+Y46*VLOOKUP(I46,EXTRAS_ARRAY,2,FALSE)</f>
        <v>6</v>
      </c>
      <c r="AB46" s="23"/>
      <c r="AC46" s="37"/>
      <c r="AD46" s="26" t="str">
        <f>IF(J46&lt;&gt;"Yes",
IF(S46&lt;=0,"Error: Effort value is not defined or is invalid.",
IF(AND(SUM(U46:W46)&gt;0,SUM(U46:W46)&lt;&gt;1),"Error: Complexity % distribution should sum to 100%.",
IF(AND(P46=AS_DEV_EFFORT,X46&lt;&gt;0),"Error: PDs should not be defined when defining as dev effort %.",
IF(AND(P46=AS_DURATION_EFFORT,X46&lt;&gt;0),"Error: PDs should not be defined when defining as duration effort %.","")))))</f>
        <v/>
      </c>
    </row>
    <row r="47" spans="1:30" ht="43.2" hidden="1" outlineLevel="2" x14ac:dyDescent="0.3">
      <c r="A47" s="93" t="s">
        <v>0</v>
      </c>
      <c r="B47" s="21"/>
      <c r="C47" s="85"/>
      <c r="D47" s="85"/>
      <c r="E47" s="85"/>
      <c r="F47" s="86"/>
      <c r="G47" s="22" t="s">
        <v>7</v>
      </c>
      <c r="H47" s="22" t="s">
        <v>43</v>
      </c>
      <c r="I47" s="23" t="s">
        <v>23</v>
      </c>
      <c r="J47" s="22" t="s">
        <v>7</v>
      </c>
      <c r="K47" s="38"/>
      <c r="L47" s="22"/>
      <c r="M47" s="288">
        <f ca="1">IFERROR(OFFSET(M47,-1,,1,1)+0.1,OFFSET(M47,-1,-1,1,1)&amp;".1")</f>
        <v>3.2</v>
      </c>
      <c r="N47" s="23" t="s">
        <v>476</v>
      </c>
      <c r="O47" s="23"/>
      <c r="P47" s="23"/>
      <c r="Q47" s="144"/>
      <c r="R47" s="137"/>
      <c r="S47" s="169">
        <f>CEILING((IF(J47="Yes", 0, IF(H47="-",AA47,AA47+AA47*VLOOKUP(H47,BUFFERS_BY_TYPE,2,FALSE)))) +
   (IF(J47="Yes", 0, IF(H47="-",AA47,AA47+AA47*VLOOKUP(H47,BUFFERS_BY_TYPE,2,FALSE))))*VLOOKUP($S$5, SALES_CALL_SCALE_ARRAY, 2,FALSE),0.25)</f>
        <v>4.75</v>
      </c>
      <c r="T47" s="170"/>
      <c r="U47" s="24">
        <v>0</v>
      </c>
      <c r="V47" s="24">
        <v>1</v>
      </c>
      <c r="W47" s="24">
        <v>0</v>
      </c>
      <c r="X47" s="168">
        <v>4</v>
      </c>
      <c r="Y47" s="169">
        <f>CEILING((IF(P47=AS_DEV_EFFORT, DEV_EFFORT*Q47%,
                           IF(P47=AS_DURATION_EFFORT, (MANUAL_DURATION*5)*Q47%,
                                    (IF(Q47&lt;=1,X47,
                                          IF(SUM(U47:W47)=0,(Q47*X47),
                                               (((Q47*U47)*(X47+(X47*EXTRA_FOR_H)))+
                                               ((Q47*V47)*X47)+
                                               ((Q47*W47)*(X47-(X47*LESS_FOR_L)))
                                    )*IF(R47=0,1,R47))))))+Z47), 0.25)</f>
        <v>4</v>
      </c>
      <c r="Z47" s="25"/>
      <c r="AA47" s="169">
        <f>Y47+Y47*VLOOKUP(I47,EXTRAS_ARRAY,2,FALSE)</f>
        <v>4</v>
      </c>
      <c r="AB47" s="23"/>
      <c r="AC47" s="37"/>
      <c r="AD47" s="26" t="str">
        <f>IF(J47&lt;&gt;"Yes",
IF(S47&lt;=0,"Error: Effort value is not defined or is invalid.",
IF(AND(SUM(U47:W47)&gt;0,SUM(U47:W47)&lt;&gt;1),"Error: Complexity % distribution should sum to 100%.",
IF(AND(P47=AS_DEV_EFFORT,X47&lt;&gt;0),"Error: PDs should not be defined when defining as dev effort %.",
IF(AND(P47=AS_DURATION_EFFORT,X47&lt;&gt;0),"Error: PDs should not be defined when defining as duration effort %.","")))))</f>
        <v/>
      </c>
    </row>
    <row r="48" spans="1:30" ht="43.2" hidden="1" outlineLevel="2" x14ac:dyDescent="0.3">
      <c r="A48" s="93" t="s">
        <v>0</v>
      </c>
      <c r="B48" s="21"/>
      <c r="C48" s="85"/>
      <c r="D48" s="85"/>
      <c r="E48" s="85"/>
      <c r="F48" s="86"/>
      <c r="G48" s="22" t="s">
        <v>7</v>
      </c>
      <c r="H48" s="22" t="s">
        <v>43</v>
      </c>
      <c r="I48" s="23" t="s">
        <v>23</v>
      </c>
      <c r="J48" s="22" t="s">
        <v>7</v>
      </c>
      <c r="K48" s="38"/>
      <c r="L48" s="22"/>
      <c r="M48" s="288">
        <f ca="1">IFERROR(OFFSET(M48,-1,,1,1)+0.1,OFFSET(M48,-1,-1,1,1)&amp;".1")</f>
        <v>3.3000000000000003</v>
      </c>
      <c r="N48" s="23" t="s">
        <v>477</v>
      </c>
      <c r="O48" s="23"/>
      <c r="P48" s="23" t="s">
        <v>474</v>
      </c>
      <c r="Q48" s="144">
        <v>1</v>
      </c>
      <c r="R48" s="137"/>
      <c r="S48" s="169">
        <f>CEILING((IF(J48="Yes", 0, IF(H48="-",AA48,AA48+AA48*VLOOKUP(H48,BUFFERS_BY_TYPE,2,FALSE)))) +
   (IF(J48="Yes", 0, IF(H48="-",AA48,AA48+AA48*VLOOKUP(H48,BUFFERS_BY_TYPE,2,FALSE))))*VLOOKUP($S$5, SALES_CALL_SCALE_ARRAY, 2,FALSE),0.25)</f>
        <v>5.75</v>
      </c>
      <c r="T48" s="170"/>
      <c r="U48" s="24">
        <v>0</v>
      </c>
      <c r="V48" s="24">
        <v>1</v>
      </c>
      <c r="W48" s="24">
        <v>0</v>
      </c>
      <c r="X48" s="168">
        <v>5</v>
      </c>
      <c r="Y48" s="169">
        <f>CEILING((IF(P48=AS_DEV_EFFORT, DEV_EFFORT*Q48%,
                           IF(P48=AS_DURATION_EFFORT, (MANUAL_DURATION*5)*Q48%,
                                    (IF(Q48&lt;=1,X48,
                                          IF(SUM(U48:W48)=0,(Q48*X48),
                                               (((Q48*U48)*(X48+(X48*EXTRA_FOR_H)))+
                                               ((Q48*V48)*X48)+
                                               ((Q48*W48)*(X48-(X48*LESS_FOR_L)))
                                    )*IF(R48=0,1,R48))))))+Z48), 0.25)</f>
        <v>5</v>
      </c>
      <c r="Z48" s="25"/>
      <c r="AA48" s="169">
        <f>Y48+Y48*VLOOKUP(I48,EXTRAS_ARRAY,2,FALSE)</f>
        <v>5</v>
      </c>
      <c r="AB48" s="23"/>
      <c r="AC48" s="37"/>
      <c r="AD48" s="26" t="str">
        <f>IF(J48&lt;&gt;"Yes",
IF(S48&lt;=0,"Error: Effort value is not defined or is invalid.",
IF(AND(SUM(U48:W48)&gt;0,SUM(U48:W48)&lt;&gt;1),"Error: Complexity % distribution should sum to 100%.",
IF(AND(P48=AS_DEV_EFFORT,X48&lt;&gt;0),"Error: PDs should not be defined when defining as dev effort %.",
IF(AND(P48=AS_DURATION_EFFORT,X48&lt;&gt;0),"Error: PDs should not be defined when defining as duration effort %.","")))))</f>
        <v/>
      </c>
    </row>
    <row r="49" spans="1:30" ht="43.2" hidden="1" outlineLevel="2" x14ac:dyDescent="0.3">
      <c r="A49" s="93" t="s">
        <v>0</v>
      </c>
      <c r="B49" s="21"/>
      <c r="C49" s="85"/>
      <c r="D49" s="85"/>
      <c r="E49" s="85"/>
      <c r="F49" s="86"/>
      <c r="G49" s="22" t="s">
        <v>7</v>
      </c>
      <c r="H49" s="22" t="s">
        <v>45</v>
      </c>
      <c r="I49" s="23" t="s">
        <v>23</v>
      </c>
      <c r="J49" s="22" t="s">
        <v>7</v>
      </c>
      <c r="K49" s="38"/>
      <c r="L49" s="22"/>
      <c r="M49" s="288">
        <f ca="1">IFERROR(OFFSET(M49,-1,,1,1)+0.1,OFFSET(M49,-1,-1,1,1)&amp;".1")</f>
        <v>3.4000000000000004</v>
      </c>
      <c r="N49" s="23" t="s">
        <v>478</v>
      </c>
      <c r="O49" s="23"/>
      <c r="P49" s="23"/>
      <c r="Q49" s="144"/>
      <c r="R49" s="137"/>
      <c r="S49" s="169">
        <f>CEILING((IF(J49="Yes", 0, IF(H49="-",AA49,AA49+AA49*VLOOKUP(H49,BUFFERS_BY_TYPE,2,FALSE)))) +
   (IF(J49="Yes", 0, IF(H49="-",AA49,AA49+AA49*VLOOKUP(H49,BUFFERS_BY_TYPE,2,FALSE))))*VLOOKUP($S$5, SALES_CALL_SCALE_ARRAY, 2,FALSE),0.25)</f>
        <v>3.75</v>
      </c>
      <c r="T49" s="170"/>
      <c r="U49" s="24">
        <v>0</v>
      </c>
      <c r="V49" s="24">
        <v>1</v>
      </c>
      <c r="W49" s="24">
        <v>0</v>
      </c>
      <c r="X49" s="168">
        <v>3</v>
      </c>
      <c r="Y49" s="169">
        <f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3</v>
      </c>
      <c r="Z49" s="25"/>
      <c r="AA49" s="169">
        <f>Y49+Y49*VLOOKUP(I49,EXTRAS_ARRAY,2,FALSE)</f>
        <v>3</v>
      </c>
      <c r="AB49" s="23"/>
      <c r="AC49" s="37"/>
      <c r="AD49" s="26" t="str">
        <f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s="11" customFormat="1" ht="7.5" hidden="1" customHeight="1" outlineLevel="2" x14ac:dyDescent="0.3">
      <c r="A50" s="93" t="s">
        <v>132</v>
      </c>
      <c r="B50" s="18"/>
      <c r="C50" s="78"/>
      <c r="D50" s="78"/>
      <c r="E50" s="78"/>
      <c r="F50" s="78"/>
      <c r="G50" s="10"/>
      <c r="H50" s="10"/>
      <c r="I50" s="10"/>
      <c r="J50" s="10"/>
      <c r="K50" s="10"/>
      <c r="L50" s="10"/>
      <c r="M50" s="289"/>
      <c r="N50" s="10"/>
      <c r="O50" s="10"/>
      <c r="P50" s="10"/>
      <c r="Q50" s="10"/>
      <c r="R50" s="10"/>
      <c r="S50" s="10"/>
      <c r="T50" s="18"/>
      <c r="U50" s="10"/>
      <c r="V50" s="10"/>
      <c r="W50" s="10"/>
      <c r="X50" s="18"/>
      <c r="Y50" s="10"/>
      <c r="Z50" s="10"/>
      <c r="AA50" s="10"/>
      <c r="AB50" s="60"/>
      <c r="AC50" s="60"/>
      <c r="AD50" s="12"/>
    </row>
    <row r="51" spans="1:30" s="17" customFormat="1" ht="15.6" hidden="1" outlineLevel="1" x14ac:dyDescent="0.3">
      <c r="A51" s="93" t="s">
        <v>100</v>
      </c>
      <c r="B51" s="21"/>
      <c r="C51" s="84"/>
      <c r="D51" s="84"/>
      <c r="E51" s="84"/>
      <c r="F51" s="83"/>
      <c r="G51" s="32"/>
      <c r="H51" s="32"/>
      <c r="I51" s="32"/>
      <c r="J51" s="32"/>
      <c r="K51" s="32"/>
      <c r="L51" s="20">
        <f ca="1">LOOKUP(1000,INDIRECT("L1:"&amp;CELL("address",INDIRECT("R[-1]C",FALSE))))+1</f>
        <v>4</v>
      </c>
      <c r="M51" s="318" t="s">
        <v>470</v>
      </c>
      <c r="N51" s="318"/>
      <c r="O51" s="5"/>
      <c r="P51" s="33"/>
      <c r="Q51" s="33"/>
      <c r="R51" s="33"/>
      <c r="S51" s="33"/>
      <c r="T51" s="167">
        <f>IF($S$6="Exclude", SUMIFS(S52:S59, J52:J59, "&lt;&gt;Yes", G52:G59, "&lt;&gt;Yes"), SUMIFS(S52:S59, J52:J59, "&lt;&gt;Yes"))</f>
        <v>20</v>
      </c>
      <c r="U51" s="33"/>
      <c r="V51" s="33"/>
      <c r="W51" s="33"/>
      <c r="X51" s="34"/>
      <c r="Y51" s="35"/>
      <c r="Z51" s="35"/>
      <c r="AA51" s="35"/>
      <c r="AB51" s="242"/>
      <c r="AC51" s="36"/>
      <c r="AD51" s="26" t="str">
        <f>IF(M51="", "Error: Task name cannot be empty.", "")</f>
        <v/>
      </c>
    </row>
    <row r="52" spans="1:30" s="15" customFormat="1" ht="1.5" hidden="1" customHeight="1" outlineLevel="2" x14ac:dyDescent="0.3">
      <c r="A52" s="93" t="s">
        <v>101</v>
      </c>
      <c r="B52" s="21"/>
      <c r="C52" s="84"/>
      <c r="D52" s="84"/>
      <c r="E52" s="84"/>
      <c r="F52" s="83"/>
      <c r="G52" s="32"/>
      <c r="H52" s="32"/>
      <c r="I52" s="32"/>
      <c r="J52" s="32"/>
      <c r="K52" s="32"/>
      <c r="L52" s="175">
        <f ca="1">L51</f>
        <v>4</v>
      </c>
      <c r="M52" s="176" t="s">
        <v>105</v>
      </c>
      <c r="N52" s="173"/>
      <c r="O52" s="174"/>
      <c r="P52" s="33"/>
      <c r="Q52" s="33"/>
      <c r="R52" s="33"/>
      <c r="S52" s="33"/>
      <c r="T52" s="167"/>
      <c r="U52" s="33"/>
      <c r="V52" s="33"/>
      <c r="W52" s="33"/>
      <c r="X52" s="34"/>
      <c r="Y52" s="35"/>
      <c r="Z52" s="35"/>
      <c r="AA52" s="35"/>
      <c r="AB52" s="36"/>
      <c r="AC52" s="36"/>
      <c r="AD52" s="26"/>
    </row>
    <row r="53" spans="1:30" ht="72" hidden="1" outlineLevel="2" x14ac:dyDescent="0.3">
      <c r="A53" s="93" t="s">
        <v>0</v>
      </c>
      <c r="B53" s="21"/>
      <c r="C53" s="85"/>
      <c r="D53" s="85"/>
      <c r="E53" s="85"/>
      <c r="F53" s="86"/>
      <c r="G53" s="22" t="s">
        <v>7</v>
      </c>
      <c r="H53" s="22" t="s">
        <v>43</v>
      </c>
      <c r="I53" s="23" t="s">
        <v>23</v>
      </c>
      <c r="J53" s="22" t="s">
        <v>7</v>
      </c>
      <c r="K53" s="38"/>
      <c r="L53" s="22"/>
      <c r="M53" s="288" t="str">
        <f t="shared" ref="M53:M58" ca="1" si="0">IFERROR(OFFSET(M53,-1,,1,1)+0.1,OFFSET(M53,-1,-1,1,1)&amp;".1")</f>
        <v>4.1</v>
      </c>
      <c r="N53" s="23" t="s">
        <v>555</v>
      </c>
      <c r="O53" s="23"/>
      <c r="P53" s="23"/>
      <c r="Q53" s="144"/>
      <c r="R53" s="137"/>
      <c r="S53" s="169">
        <f t="shared" ref="S53:S58" si="1">CEILING((IF(J53="Yes", 0, IF(H53="-",AA53,AA53+AA53*VLOOKUP(H53,BUFFERS_BY_TYPE,2,FALSE)))) +
   (IF(J53="Yes", 0, IF(H53="-",AA53,AA53+AA53*VLOOKUP(H53,BUFFERS_BY_TYPE,2,FALSE))))*VLOOKUP($S$5, SALES_CALL_SCALE_ARRAY, 2,FALSE),0.25)</f>
        <v>3.5</v>
      </c>
      <c r="T53" s="170"/>
      <c r="U53" s="24">
        <v>0</v>
      </c>
      <c r="V53" s="24">
        <v>1</v>
      </c>
      <c r="W53" s="24">
        <v>0</v>
      </c>
      <c r="X53" s="168">
        <v>3</v>
      </c>
      <c r="Y53" s="169">
        <f t="shared" ref="Y53:Y58" si="2">CEILING((IF(P53=AS_DEV_EFFORT, DEV_EFFORT*Q53%,
                           IF(P53=AS_DURATION_EFFORT, (MANUAL_DURATION*5)*Q53%,
                                    (IF(Q53&lt;=1,X53,
                                          IF(SUM(U53:W53)=0,(Q53*X53),
                                               (((Q53*U53)*(X53+(X53*EXTRA_FOR_H)))+
                                               ((Q53*V53)*X53)+
                                               ((Q53*W53)*(X53-(X53*LESS_FOR_L)))
                                    )*IF(R53=0,1,R53))))))+Z53), 0.25)</f>
        <v>3</v>
      </c>
      <c r="Z53" s="25"/>
      <c r="AA53" s="169">
        <f t="shared" ref="AA53:AA58" si="3">Y53+Y53*VLOOKUP(I53,EXTRAS_ARRAY,2,FALSE)</f>
        <v>3</v>
      </c>
      <c r="AB53" s="23"/>
      <c r="AC53" s="37"/>
      <c r="AD53" s="26" t="str">
        <f t="shared" ref="AD53:AD58" si="4"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spans="1:30" ht="43.2" hidden="1" outlineLevel="2" x14ac:dyDescent="0.3">
      <c r="A54" s="93" t="s">
        <v>0</v>
      </c>
      <c r="B54" s="21"/>
      <c r="C54" s="85"/>
      <c r="D54" s="85"/>
      <c r="E54" s="85"/>
      <c r="F54" s="86"/>
      <c r="G54" s="22" t="s">
        <v>7</v>
      </c>
      <c r="H54" s="22" t="s">
        <v>43</v>
      </c>
      <c r="I54" s="23" t="s">
        <v>134</v>
      </c>
      <c r="J54" s="22" t="s">
        <v>7</v>
      </c>
      <c r="K54" s="38"/>
      <c r="L54" s="22"/>
      <c r="M54" s="288">
        <f t="shared" ca="1" si="0"/>
        <v>4.1999999999999993</v>
      </c>
      <c r="N54" s="23" t="s">
        <v>480</v>
      </c>
      <c r="O54" s="23"/>
      <c r="P54" s="23"/>
      <c r="Q54" s="144"/>
      <c r="R54" s="137"/>
      <c r="S54" s="169">
        <f t="shared" si="1"/>
        <v>4.5</v>
      </c>
      <c r="T54" s="170"/>
      <c r="U54" s="24">
        <v>0</v>
      </c>
      <c r="V54" s="24">
        <v>1</v>
      </c>
      <c r="W54" s="24">
        <v>0</v>
      </c>
      <c r="X54" s="168">
        <v>3</v>
      </c>
      <c r="Y54" s="169">
        <f t="shared" si="2"/>
        <v>3</v>
      </c>
      <c r="Z54" s="25"/>
      <c r="AA54" s="169">
        <f t="shared" si="3"/>
        <v>3.75</v>
      </c>
      <c r="AB54" s="23"/>
      <c r="AC54" s="37"/>
      <c r="AD54" s="26" t="str">
        <f t="shared" si="4"/>
        <v/>
      </c>
    </row>
    <row r="55" spans="1:30" ht="28.8" hidden="1" outlineLevel="2" x14ac:dyDescent="0.3">
      <c r="A55" s="93" t="s">
        <v>0</v>
      </c>
      <c r="B55" s="21"/>
      <c r="C55" s="85"/>
      <c r="D55" s="85"/>
      <c r="E55" s="85"/>
      <c r="F55" s="86"/>
      <c r="G55" s="22" t="s">
        <v>7</v>
      </c>
      <c r="H55" s="22" t="s">
        <v>23</v>
      </c>
      <c r="I55" s="23" t="s">
        <v>134</v>
      </c>
      <c r="J55" s="22" t="s">
        <v>7</v>
      </c>
      <c r="K55" s="38"/>
      <c r="L55" s="22"/>
      <c r="M55" s="288">
        <f t="shared" ca="1" si="0"/>
        <v>4.2999999999999989</v>
      </c>
      <c r="N55" s="23" t="s">
        <v>481</v>
      </c>
      <c r="O55" s="23"/>
      <c r="P55" s="23"/>
      <c r="Q55" s="144"/>
      <c r="R55" s="137"/>
      <c r="S55" s="169">
        <f t="shared" si="1"/>
        <v>3.75</v>
      </c>
      <c r="T55" s="170"/>
      <c r="U55" s="24">
        <v>0</v>
      </c>
      <c r="V55" s="24">
        <v>1</v>
      </c>
      <c r="W55" s="24">
        <v>0</v>
      </c>
      <c r="X55" s="168">
        <v>3</v>
      </c>
      <c r="Y55" s="169">
        <f t="shared" si="2"/>
        <v>3</v>
      </c>
      <c r="Z55" s="25"/>
      <c r="AA55" s="169">
        <f t="shared" si="3"/>
        <v>3.75</v>
      </c>
      <c r="AB55" s="23"/>
      <c r="AC55" s="37"/>
      <c r="AD55" s="26" t="str">
        <f t="shared" si="4"/>
        <v/>
      </c>
    </row>
    <row r="56" spans="1:30" ht="28.8" hidden="1" outlineLevel="2" x14ac:dyDescent="0.3">
      <c r="A56" s="93" t="s">
        <v>0</v>
      </c>
      <c r="B56" s="21"/>
      <c r="C56" s="85"/>
      <c r="D56" s="85"/>
      <c r="E56" s="85"/>
      <c r="F56" s="86"/>
      <c r="G56" s="22" t="s">
        <v>7</v>
      </c>
      <c r="H56" s="22" t="s">
        <v>43</v>
      </c>
      <c r="I56" s="23" t="s">
        <v>135</v>
      </c>
      <c r="J56" s="22" t="s">
        <v>7</v>
      </c>
      <c r="K56" s="38"/>
      <c r="L56" s="22"/>
      <c r="M56" s="288">
        <f t="shared" ca="1" si="0"/>
        <v>4.3999999999999986</v>
      </c>
      <c r="N56" s="23" t="s">
        <v>482</v>
      </c>
      <c r="O56" s="23"/>
      <c r="P56" s="23"/>
      <c r="Q56" s="144"/>
      <c r="R56" s="137"/>
      <c r="S56" s="169">
        <f t="shared" si="1"/>
        <v>4</v>
      </c>
      <c r="T56" s="170"/>
      <c r="U56" s="24">
        <v>0</v>
      </c>
      <c r="V56" s="24">
        <v>1</v>
      </c>
      <c r="W56" s="24">
        <v>0</v>
      </c>
      <c r="X56" s="168">
        <v>3</v>
      </c>
      <c r="Y56" s="169">
        <f t="shared" si="2"/>
        <v>3</v>
      </c>
      <c r="Z56" s="25"/>
      <c r="AA56" s="169">
        <f t="shared" si="3"/>
        <v>3.3</v>
      </c>
      <c r="AB56" s="23"/>
      <c r="AC56" s="37"/>
      <c r="AD56" s="26" t="str">
        <f t="shared" si="4"/>
        <v/>
      </c>
    </row>
    <row r="57" spans="1:30" ht="28.8" hidden="1" outlineLevel="2" x14ac:dyDescent="0.3">
      <c r="A57" s="93" t="s">
        <v>0</v>
      </c>
      <c r="B57" s="21"/>
      <c r="C57" s="85"/>
      <c r="D57" s="85"/>
      <c r="E57" s="85"/>
      <c r="F57" s="86"/>
      <c r="G57" s="22" t="s">
        <v>7</v>
      </c>
      <c r="H57" s="22" t="s">
        <v>23</v>
      </c>
      <c r="I57" s="23" t="s">
        <v>134</v>
      </c>
      <c r="J57" s="22" t="s">
        <v>23</v>
      </c>
      <c r="K57" s="38"/>
      <c r="L57" s="22"/>
      <c r="M57" s="288">
        <f t="shared" ca="1" si="0"/>
        <v>4.4999999999999982</v>
      </c>
      <c r="N57" s="23" t="s">
        <v>483</v>
      </c>
      <c r="O57" s="23"/>
      <c r="P57" s="23"/>
      <c r="Q57" s="144"/>
      <c r="R57" s="137"/>
      <c r="S57" s="169">
        <f t="shared" si="1"/>
        <v>1.25</v>
      </c>
      <c r="T57" s="170"/>
      <c r="U57" s="24">
        <v>0</v>
      </c>
      <c r="V57" s="24">
        <v>1</v>
      </c>
      <c r="W57" s="24">
        <v>0</v>
      </c>
      <c r="X57" s="168">
        <v>1</v>
      </c>
      <c r="Y57" s="169">
        <f t="shared" si="2"/>
        <v>1</v>
      </c>
      <c r="Z57" s="25"/>
      <c r="AA57" s="169">
        <f t="shared" si="3"/>
        <v>1.25</v>
      </c>
      <c r="AB57" s="23"/>
      <c r="AC57" s="37"/>
      <c r="AD57" s="26" t="str">
        <f t="shared" si="4"/>
        <v/>
      </c>
    </row>
    <row r="58" spans="1:30" ht="43.2" hidden="1" outlineLevel="2" x14ac:dyDescent="0.3">
      <c r="A58" s="93" t="s">
        <v>0</v>
      </c>
      <c r="B58" s="21"/>
      <c r="C58" s="85"/>
      <c r="D58" s="85"/>
      <c r="E58" s="85"/>
      <c r="F58" s="86"/>
      <c r="G58" s="22" t="s">
        <v>7</v>
      </c>
      <c r="H58" s="22" t="s">
        <v>43</v>
      </c>
      <c r="I58" s="23" t="s">
        <v>134</v>
      </c>
      <c r="J58" s="22" t="s">
        <v>23</v>
      </c>
      <c r="K58" s="38"/>
      <c r="L58" s="22"/>
      <c r="M58" s="288">
        <f t="shared" ca="1" si="0"/>
        <v>4.5999999999999979</v>
      </c>
      <c r="N58" s="23" t="s">
        <v>484</v>
      </c>
      <c r="O58" s="23"/>
      <c r="P58" s="23"/>
      <c r="Q58" s="144"/>
      <c r="R58" s="137"/>
      <c r="S58" s="169">
        <f t="shared" si="1"/>
        <v>3</v>
      </c>
      <c r="T58" s="170"/>
      <c r="U58" s="24">
        <v>0</v>
      </c>
      <c r="V58" s="24">
        <v>1</v>
      </c>
      <c r="W58" s="24">
        <v>0</v>
      </c>
      <c r="X58" s="168">
        <v>2</v>
      </c>
      <c r="Y58" s="169">
        <f t="shared" si="2"/>
        <v>2</v>
      </c>
      <c r="Z58" s="25"/>
      <c r="AA58" s="169">
        <f t="shared" si="3"/>
        <v>2.5</v>
      </c>
      <c r="AB58" s="23"/>
      <c r="AC58" s="37"/>
      <c r="AD58" s="26" t="str">
        <f t="shared" si="4"/>
        <v/>
      </c>
    </row>
    <row r="59" spans="1:30" s="11" customFormat="1" ht="7.5" hidden="1" customHeight="1" outlineLevel="2" x14ac:dyDescent="0.3">
      <c r="A59" s="93" t="s">
        <v>132</v>
      </c>
      <c r="B59" s="18"/>
      <c r="C59" s="78"/>
      <c r="D59" s="78"/>
      <c r="E59" s="78"/>
      <c r="F59" s="78"/>
      <c r="G59" s="10"/>
      <c r="H59" s="10"/>
      <c r="I59" s="10"/>
      <c r="J59" s="10"/>
      <c r="K59" s="10"/>
      <c r="L59" s="10"/>
      <c r="M59" s="289"/>
      <c r="N59" s="10"/>
      <c r="O59" s="10"/>
      <c r="P59" s="10"/>
      <c r="Q59" s="10"/>
      <c r="R59" s="10"/>
      <c r="S59" s="10"/>
      <c r="T59" s="18"/>
      <c r="U59" s="10"/>
      <c r="V59" s="10"/>
      <c r="W59" s="10"/>
      <c r="X59" s="18"/>
      <c r="Y59" s="10"/>
      <c r="Z59" s="10"/>
      <c r="AA59" s="10"/>
      <c r="AB59" s="60"/>
      <c r="AC59" s="60"/>
      <c r="AD59" s="12"/>
    </row>
    <row r="60" spans="1:30" s="17" customFormat="1" ht="15.6" hidden="1" outlineLevel="1" collapsed="1" x14ac:dyDescent="0.3">
      <c r="A60" s="93" t="s">
        <v>100</v>
      </c>
      <c r="B60" s="21"/>
      <c r="C60" s="84"/>
      <c r="D60" s="84"/>
      <c r="E60" s="84"/>
      <c r="F60" s="83"/>
      <c r="G60" s="32"/>
      <c r="H60" s="32"/>
      <c r="I60" s="32"/>
      <c r="J60" s="32"/>
      <c r="K60" s="32"/>
      <c r="L60" s="20">
        <f ca="1">LOOKUP(1000,INDIRECT("L1:"&amp;CELL("address",INDIRECT("R[-1]C",FALSE))))+1</f>
        <v>5</v>
      </c>
      <c r="M60" s="318" t="s">
        <v>471</v>
      </c>
      <c r="N60" s="318"/>
      <c r="O60" s="5"/>
      <c r="P60" s="33"/>
      <c r="Q60" s="33"/>
      <c r="R60" s="33"/>
      <c r="S60" s="33"/>
      <c r="T60" s="167">
        <f>IF($S$6="Exclude", SUMIFS(S61:S66, J61:J66, "&lt;&gt;Yes", G61:G66, "&lt;&gt;Yes"), SUMIFS(S61:S66, J61:J66, "&lt;&gt;Yes"))</f>
        <v>0</v>
      </c>
      <c r="U60" s="33"/>
      <c r="V60" s="33"/>
      <c r="W60" s="33"/>
      <c r="X60" s="34"/>
      <c r="Y60" s="35"/>
      <c r="Z60" s="35"/>
      <c r="AA60" s="35"/>
      <c r="AB60" s="242"/>
      <c r="AC60" s="36"/>
      <c r="AD60" s="26" t="str">
        <f>IF(M60="", "Error: Task name cannot be empty.", "")</f>
        <v/>
      </c>
    </row>
    <row r="61" spans="1:30" s="15" customFormat="1" ht="1.5" hidden="1" customHeight="1" outlineLevel="2" x14ac:dyDescent="0.3">
      <c r="A61" s="93" t="s">
        <v>101</v>
      </c>
      <c r="B61" s="21"/>
      <c r="C61" s="84"/>
      <c r="D61" s="84"/>
      <c r="E61" s="84"/>
      <c r="F61" s="83"/>
      <c r="G61" s="32"/>
      <c r="H61" s="32"/>
      <c r="I61" s="32"/>
      <c r="J61" s="32"/>
      <c r="K61" s="32"/>
      <c r="L61" s="175">
        <f ca="1">L60</f>
        <v>5</v>
      </c>
      <c r="M61" s="176" t="s">
        <v>105</v>
      </c>
      <c r="N61" s="173"/>
      <c r="O61" s="174"/>
      <c r="P61" s="33"/>
      <c r="Q61" s="33"/>
      <c r="R61" s="33"/>
      <c r="S61" s="33"/>
      <c r="T61" s="167"/>
      <c r="U61" s="33"/>
      <c r="V61" s="33"/>
      <c r="W61" s="33"/>
      <c r="X61" s="34"/>
      <c r="Y61" s="35"/>
      <c r="Z61" s="35"/>
      <c r="AA61" s="35"/>
      <c r="AB61" s="36"/>
      <c r="AC61" s="36"/>
      <c r="AD61" s="26"/>
    </row>
    <row r="62" spans="1:30" ht="43.2" hidden="1" outlineLevel="2" x14ac:dyDescent="0.3">
      <c r="A62" s="93" t="s">
        <v>0</v>
      </c>
      <c r="B62" s="21"/>
      <c r="C62" s="85"/>
      <c r="D62" s="85"/>
      <c r="E62" s="85"/>
      <c r="F62" s="86"/>
      <c r="G62" s="22" t="s">
        <v>23</v>
      </c>
      <c r="H62" s="22" t="s">
        <v>23</v>
      </c>
      <c r="I62" s="23" t="s">
        <v>23</v>
      </c>
      <c r="J62" s="22" t="s">
        <v>23</v>
      </c>
      <c r="K62" s="38"/>
      <c r="L62" s="22"/>
      <c r="M62" s="288" t="str">
        <f ca="1">IFERROR(OFFSET(M62,-1,,1,1)+0.1,OFFSET(M62,-1,-1,1,1)&amp;".1")</f>
        <v>5.1</v>
      </c>
      <c r="N62" s="23" t="s">
        <v>485</v>
      </c>
      <c r="O62" s="23"/>
      <c r="P62" s="23"/>
      <c r="Q62" s="144"/>
      <c r="R62" s="137"/>
      <c r="S62" s="169">
        <f>CEILING((IF(J62="Yes", 0, IF(H62="-",AA62,AA62+AA62*VLOOKUP(H62,BUFFERS_BY_TYPE,2,FALSE)))) +
   (IF(J62="Yes", 0, IF(H62="-",AA62,AA62+AA62*VLOOKUP(H62,BUFFERS_BY_TYPE,2,FALSE))))*VLOOKUP($S$5, SALES_CALL_SCALE_ARRAY, 2,FALSE),0.25)</f>
        <v>0</v>
      </c>
      <c r="T62" s="170"/>
      <c r="U62" s="24">
        <v>0</v>
      </c>
      <c r="V62" s="24">
        <v>1</v>
      </c>
      <c r="W62" s="24">
        <v>0</v>
      </c>
      <c r="X62" s="168"/>
      <c r="Y62" s="169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>0</v>
      </c>
      <c r="Z62" s="25"/>
      <c r="AA62" s="169">
        <f>Y62+Y62*VLOOKUP(I62,EXTRAS_ARRAY,2,FALSE)</f>
        <v>0</v>
      </c>
      <c r="AB62" s="23"/>
      <c r="AC62" s="37"/>
      <c r="AD62" s="26" t="str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>Error: Effort value is not defined or is invalid.</v>
      </c>
    </row>
    <row r="63" spans="1:30" ht="43.2" hidden="1" outlineLevel="2" x14ac:dyDescent="0.3">
      <c r="A63" s="93" t="s">
        <v>0</v>
      </c>
      <c r="B63" s="21"/>
      <c r="C63" s="85"/>
      <c r="D63" s="85"/>
      <c r="E63" s="85"/>
      <c r="F63" s="86"/>
      <c r="G63" s="22" t="s">
        <v>23</v>
      </c>
      <c r="H63" s="22" t="s">
        <v>23</v>
      </c>
      <c r="I63" s="23" t="s">
        <v>23</v>
      </c>
      <c r="J63" s="22" t="s">
        <v>23</v>
      </c>
      <c r="K63" s="38" t="s">
        <v>489</v>
      </c>
      <c r="L63" s="22"/>
      <c r="M63" s="288">
        <f ca="1">IFERROR(OFFSET(M63,-1,,1,1)+0.1,OFFSET(M63,-1,-1,1,1)&amp;".1")</f>
        <v>5.1999999999999993</v>
      </c>
      <c r="N63" s="23" t="s">
        <v>486</v>
      </c>
      <c r="O63" s="23" t="s">
        <v>542</v>
      </c>
      <c r="P63" s="23">
        <f>Total_Use_Cases * R63</f>
        <v>0</v>
      </c>
      <c r="Q63" s="144">
        <f>Total_Use_Cases</f>
        <v>0</v>
      </c>
      <c r="R63" s="137"/>
      <c r="S63" s="169">
        <f>CEILING((IF(J63="Yes", 0, IF(H63="-",AA63,AA63+AA63*VLOOKUP(H63,BUFFERS_BY_TYPE,2,FALSE)))) +
   (IF(J63="Yes", 0, IF(H63="-",AA63,AA63+AA63*VLOOKUP(H63,BUFFERS_BY_TYPE,2,FALSE))))*VLOOKUP($S$5, SALES_CALL_SCALE_ARRAY, 2,FALSE),0.25)</f>
        <v>0</v>
      </c>
      <c r="T63" s="170"/>
      <c r="U63" s="24">
        <v>0</v>
      </c>
      <c r="V63" s="24">
        <v>1</v>
      </c>
      <c r="W63" s="24">
        <v>0</v>
      </c>
      <c r="X63" s="168"/>
      <c r="Y63" s="169">
        <f>CEILING((IF(P63=AS_DEV_EFFORT, DEV_EFFORT*Q63%,
                           IF(P63=AS_DURATION_EFFORT, (MANUAL_DURATION*5)*Q63%,
                                    (IF(Q63&lt;=1,X63,
                                          IF(SUM(U63:W63)=0,(Q63*X63),
                                               (((Q63*U63)*(X63+(X63*EXTRA_FOR_H)))+
                                               ((Q63*V63)*X63)+
                                               ((Q63*W63)*(X63-(X63*LESS_FOR_L)))
                                    )*IF(R63=0,1,R63))))))+Z63), 0.25)</f>
        <v>0</v>
      </c>
      <c r="Z63" s="25"/>
      <c r="AA63" s="169">
        <f>Y63+Y63*VLOOKUP(I63,EXTRAS_ARRAY,2,FALSE)</f>
        <v>0</v>
      </c>
      <c r="AB63" s="23"/>
      <c r="AC63" s="37"/>
      <c r="AD63" s="26" t="str">
        <f>IF(J63&lt;&gt;"Yes",
IF(S63&lt;=0,"Error: Effort value is not defined or is invalid.",
IF(AND(SUM(U63:W63)&gt;0,SUM(U63:W63)&lt;&gt;1),"Error: Complexity % distribution should sum to 100%.",
IF(AND(P63=AS_DEV_EFFORT,X63&lt;&gt;0),"Error: PDs should not be defined when defining as dev effort %.",
IF(AND(P63=AS_DURATION_EFFORT,X63&lt;&gt;0),"Error: PDs should not be defined when defining as duration effort %.","")))))</f>
        <v>Error: Effort value is not defined or is invalid.</v>
      </c>
    </row>
    <row r="64" spans="1:30" ht="43.2" hidden="1" outlineLevel="2" x14ac:dyDescent="0.3">
      <c r="A64" s="93" t="s">
        <v>0</v>
      </c>
      <c r="B64" s="21"/>
      <c r="C64" s="85"/>
      <c r="D64" s="85"/>
      <c r="E64" s="85"/>
      <c r="F64" s="86"/>
      <c r="G64" s="22" t="s">
        <v>23</v>
      </c>
      <c r="H64" s="22" t="s">
        <v>23</v>
      </c>
      <c r="I64" s="23" t="s">
        <v>23</v>
      </c>
      <c r="J64" s="22" t="s">
        <v>23</v>
      </c>
      <c r="K64" s="38" t="s">
        <v>490</v>
      </c>
      <c r="L64" s="22"/>
      <c r="M64" s="288">
        <f ca="1">IFERROR(OFFSET(M64,-1,,1,1)+0.1,OFFSET(M64,-1,-1,1,1)&amp;".1")</f>
        <v>5.2999999999999989</v>
      </c>
      <c r="N64" s="23" t="s">
        <v>487</v>
      </c>
      <c r="O64" s="23" t="s">
        <v>542</v>
      </c>
      <c r="P64" s="23">
        <f>Total_Use_Cases * R64</f>
        <v>0</v>
      </c>
      <c r="Q64" s="144">
        <f>Total_Use_Cases</f>
        <v>0</v>
      </c>
      <c r="R64" s="137"/>
      <c r="S64" s="169">
        <f>CEILING((IF(J64="Yes", 0, IF(H64="-",AA64,AA64+AA64*VLOOKUP(H64,BUFFERS_BY_TYPE,2,FALSE)))) +
   (IF(J64="Yes", 0, IF(H64="-",AA64,AA64+AA64*VLOOKUP(H64,BUFFERS_BY_TYPE,2,FALSE))))*VLOOKUP($S$5, SALES_CALL_SCALE_ARRAY, 2,FALSE),0.25)</f>
        <v>0</v>
      </c>
      <c r="T64" s="170"/>
      <c r="U64" s="24">
        <v>0</v>
      </c>
      <c r="V64" s="24">
        <v>1</v>
      </c>
      <c r="W64" s="24">
        <v>0</v>
      </c>
      <c r="X64" s="168"/>
      <c r="Y64" s="169">
        <f>CEILING((IF(P64=AS_DEV_EFFORT, DEV_EFFORT*Q64%,
                           IF(P64=AS_DURATION_EFFORT, (MANUAL_DURATION*5)*Q64%,
                                    (IF(Q64&lt;=1,X64,
                                          IF(SUM(U64:W64)=0,(Q64*X64),
                                               (((Q64*U64)*(X64+(X64*EXTRA_FOR_H)))+
                                               ((Q64*V64)*X64)+
                                               ((Q64*W64)*(X64-(X64*LESS_FOR_L)))
                                    )*IF(R64=0,1,R64))))))+Z64), 0.25)</f>
        <v>0</v>
      </c>
      <c r="Z64" s="25"/>
      <c r="AA64" s="169">
        <f>Y64+Y64*VLOOKUP(I64,EXTRAS_ARRAY,2,FALSE)</f>
        <v>0</v>
      </c>
      <c r="AB64" s="23"/>
      <c r="AC64" s="37"/>
      <c r="AD64" s="26" t="str">
        <f>IF(J64&lt;&gt;"Yes",
IF(S64&lt;=0,"Error: Effort value is not defined or is invalid.",
IF(AND(SUM(U64:W64)&gt;0,SUM(U64:W64)&lt;&gt;1),"Error: Complexity % distribution should sum to 100%.",
IF(AND(P64=AS_DEV_EFFORT,X64&lt;&gt;0),"Error: PDs should not be defined when defining as dev effort %.",
IF(AND(P64=AS_DURATION_EFFORT,X64&lt;&gt;0),"Error: PDs should not be defined when defining as duration effort %.","")))))</f>
        <v>Error: Effort value is not defined or is invalid.</v>
      </c>
    </row>
    <row r="65" spans="1:30" ht="43.2" hidden="1" outlineLevel="2" x14ac:dyDescent="0.3">
      <c r="A65" s="93" t="s">
        <v>0</v>
      </c>
      <c r="B65" s="21"/>
      <c r="C65" s="85"/>
      <c r="D65" s="85"/>
      <c r="E65" s="85"/>
      <c r="F65" s="86"/>
      <c r="G65" s="22" t="s">
        <v>23</v>
      </c>
      <c r="H65" s="22" t="s">
        <v>23</v>
      </c>
      <c r="I65" s="23" t="s">
        <v>23</v>
      </c>
      <c r="J65" s="22" t="s">
        <v>23</v>
      </c>
      <c r="K65" s="38"/>
      <c r="L65" s="22"/>
      <c r="M65" s="288">
        <f ca="1">IFERROR(OFFSET(M65,-1,,1,1)+0.1,OFFSET(M65,-1,-1,1,1)&amp;".1")</f>
        <v>5.3999999999999986</v>
      </c>
      <c r="N65" s="23" t="s">
        <v>488</v>
      </c>
      <c r="O65" s="23"/>
      <c r="P65" s="23"/>
      <c r="Q65" s="144"/>
      <c r="R65" s="137"/>
      <c r="S65" s="169">
        <f>CEILING((IF(J65="Yes", 0, IF(H65="-",AA65,AA65+AA65*VLOOKUP(H65,BUFFERS_BY_TYPE,2,FALSE)))) +
   (IF(J65="Yes", 0, IF(H65="-",AA65,AA65+AA65*VLOOKUP(H65,BUFFERS_BY_TYPE,2,FALSE))))*VLOOKUP($S$5, SALES_CALL_SCALE_ARRAY, 2,FALSE),0.25)</f>
        <v>0</v>
      </c>
      <c r="T65" s="170"/>
      <c r="U65" s="24">
        <v>0</v>
      </c>
      <c r="V65" s="24">
        <v>1</v>
      </c>
      <c r="W65" s="24">
        <v>0</v>
      </c>
      <c r="X65" s="168"/>
      <c r="Y65" s="169">
        <f>CEILING((IF(P65=AS_DEV_EFFORT, DEV_EFFORT*Q65%,
                           IF(P65=AS_DURATION_EFFORT, (MANUAL_DURATION*5)*Q65%,
                                    (IF(Q65&lt;=1,X65,
                                          IF(SUM(U65:W65)=0,(Q65*X65),
                                               (((Q65*U65)*(X65+(X65*EXTRA_FOR_H)))+
                                               ((Q65*V65)*X65)+
                                               ((Q65*W65)*(X65-(X65*LESS_FOR_L)))
                                    )*IF(R65=0,1,R65))))))+Z65), 0.25)</f>
        <v>0</v>
      </c>
      <c r="Z65" s="25"/>
      <c r="AA65" s="169">
        <f>Y65+Y65*VLOOKUP(I65,EXTRAS_ARRAY,2,FALSE)</f>
        <v>0</v>
      </c>
      <c r="AB65" s="23"/>
      <c r="AC65" s="37"/>
      <c r="AD65" s="26" t="str">
        <f>IF(J65&lt;&gt;"Yes",
IF(S65&lt;=0,"Error: Effort value is not defined or is invalid.",
IF(AND(SUM(U65:W65)&gt;0,SUM(U65:W65)&lt;&gt;1),"Error: Complexity % distribution should sum to 100%.",
IF(AND(P65=AS_DEV_EFFORT,X65&lt;&gt;0),"Error: PDs should not be defined when defining as dev effort %.",
IF(AND(P65=AS_DURATION_EFFORT,X65&lt;&gt;0),"Error: PDs should not be defined when defining as duration effort %.","")))))</f>
        <v>Error: Effort value is not defined or is invalid.</v>
      </c>
    </row>
    <row r="66" spans="1:30" s="11" customFormat="1" ht="7.5" hidden="1" customHeight="1" outlineLevel="2" x14ac:dyDescent="0.3">
      <c r="A66" s="93" t="s">
        <v>132</v>
      </c>
      <c r="B66" s="18"/>
      <c r="C66" s="78"/>
      <c r="D66" s="78"/>
      <c r="E66" s="78"/>
      <c r="F66" s="78"/>
      <c r="G66" s="10"/>
      <c r="H66" s="10"/>
      <c r="I66" s="10"/>
      <c r="J66" s="10"/>
      <c r="K66" s="10"/>
      <c r="L66" s="10"/>
      <c r="M66" s="289"/>
      <c r="N66" s="10"/>
      <c r="O66" s="10"/>
      <c r="P66" s="10"/>
      <c r="Q66" s="10"/>
      <c r="R66" s="10"/>
      <c r="S66" s="10"/>
      <c r="T66" s="18"/>
      <c r="U66" s="10"/>
      <c r="V66" s="10"/>
      <c r="W66" s="10"/>
      <c r="X66" s="18"/>
      <c r="Y66" s="10"/>
      <c r="Z66" s="10"/>
      <c r="AA66" s="10"/>
      <c r="AB66" s="60"/>
      <c r="AC66" s="60"/>
      <c r="AD66" s="12"/>
    </row>
    <row r="67" spans="1:30" s="11" customFormat="1" ht="3" hidden="1" customHeight="1" outlineLevel="1" x14ac:dyDescent="0.3">
      <c r="A67" s="93" t="s">
        <v>102</v>
      </c>
      <c r="B67" s="10"/>
      <c r="C67" s="78"/>
      <c r="D67" s="78"/>
      <c r="E67" s="78"/>
      <c r="F67" s="78"/>
      <c r="G67" s="59"/>
      <c r="H67" s="59"/>
      <c r="I67" s="59"/>
      <c r="J67" s="59"/>
      <c r="K67" s="59"/>
      <c r="L67" s="61"/>
      <c r="M67" s="290"/>
      <c r="N67" s="62"/>
      <c r="O67" s="62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2"/>
      <c r="AC67" s="62"/>
      <c r="AD67" s="12"/>
    </row>
    <row r="68" spans="1:30" s="17" customFormat="1" ht="18" collapsed="1" x14ac:dyDescent="0.3">
      <c r="A68" s="93" t="s">
        <v>98</v>
      </c>
      <c r="B68" s="14"/>
      <c r="C68" s="79"/>
      <c r="D68" s="79"/>
      <c r="E68" s="79"/>
      <c r="F68" s="78"/>
      <c r="G68" s="55"/>
      <c r="H68" s="55"/>
      <c r="I68" s="55"/>
      <c r="J68" s="55"/>
      <c r="K68" s="55"/>
      <c r="L68" s="55" t="s">
        <v>69</v>
      </c>
      <c r="M68" s="286" t="s">
        <v>73</v>
      </c>
      <c r="N68" s="56"/>
      <c r="O68" s="57"/>
      <c r="P68" s="58"/>
      <c r="Q68" s="58"/>
      <c r="R68" s="58"/>
      <c r="S68" s="319">
        <f>CEILING(SUMIF(J69:J101, "&lt;&gt;Yes", T69:T101),1)</f>
        <v>33</v>
      </c>
      <c r="T68" s="319"/>
      <c r="U68" s="58"/>
      <c r="V68" s="58"/>
      <c r="W68" s="58"/>
      <c r="X68" s="181"/>
      <c r="Y68" s="181"/>
      <c r="Z68" s="58"/>
      <c r="AA68" s="181"/>
      <c r="AB68" s="58"/>
      <c r="AC68" s="58"/>
      <c r="AD68" s="16"/>
    </row>
    <row r="69" spans="1:30" s="11" customFormat="1" ht="3" hidden="1" customHeight="1" outlineLevel="1" x14ac:dyDescent="0.3">
      <c r="A69" s="93" t="s">
        <v>99</v>
      </c>
      <c r="B69" s="18"/>
      <c r="C69" s="78"/>
      <c r="D69" s="78"/>
      <c r="E69" s="78"/>
      <c r="F69" s="78"/>
      <c r="G69" s="28"/>
      <c r="H69" s="28"/>
      <c r="I69" s="28"/>
      <c r="J69" s="28"/>
      <c r="K69" s="28"/>
      <c r="L69" s="29">
        <v>0</v>
      </c>
      <c r="M69" s="287"/>
      <c r="N69" s="28"/>
      <c r="O69" s="28"/>
      <c r="P69" s="28"/>
      <c r="Q69" s="28"/>
      <c r="R69" s="28"/>
      <c r="S69" s="28"/>
      <c r="T69" s="30"/>
      <c r="U69" s="28"/>
      <c r="V69" s="28"/>
      <c r="W69" s="28"/>
      <c r="X69" s="30"/>
      <c r="Y69" s="28"/>
      <c r="Z69" s="28"/>
      <c r="AA69" s="28"/>
      <c r="AB69" s="31"/>
      <c r="AC69" s="31"/>
      <c r="AD69" s="12"/>
    </row>
    <row r="70" spans="1:30" s="17" customFormat="1" ht="15.6" hidden="1" outlineLevel="1" collapsed="1" x14ac:dyDescent="0.3">
      <c r="A70" s="93" t="s">
        <v>100</v>
      </c>
      <c r="B70" s="21"/>
      <c r="C70" s="84"/>
      <c r="D70" s="84"/>
      <c r="E70" s="84"/>
      <c r="F70" s="83"/>
      <c r="G70" s="32"/>
      <c r="H70" s="32"/>
      <c r="I70" s="32"/>
      <c r="J70" s="32"/>
      <c r="K70" s="32"/>
      <c r="L70" s="20">
        <f ca="1">LOOKUP(1000,INDIRECT("L1:"&amp;CELL("address",INDIRECT("R[-1]C",FALSE))))+1</f>
        <v>1</v>
      </c>
      <c r="M70" s="318" t="s">
        <v>448</v>
      </c>
      <c r="N70" s="318"/>
      <c r="O70" s="5"/>
      <c r="P70" s="33"/>
      <c r="Q70" s="33"/>
      <c r="R70" s="33"/>
      <c r="S70" s="33"/>
      <c r="T70" s="167">
        <f>IF($S$6="Exclude", SUMIFS(S71:S76, J71:J76, "&lt;&gt;Yes", G71:G76, "&lt;&gt;Yes"), SUMIFS(S71:S76, J71:J76, "&lt;&gt;Yes"))</f>
        <v>8</v>
      </c>
      <c r="U70" s="33"/>
      <c r="V70" s="33"/>
      <c r="W70" s="33"/>
      <c r="X70" s="34"/>
      <c r="Y70" s="35"/>
      <c r="Z70" s="35"/>
      <c r="AA70" s="35"/>
      <c r="AB70" s="242"/>
      <c r="AC70" s="36"/>
      <c r="AD70" s="26" t="str">
        <f>IF(M70="", "Error: Task name cannot be empty.", "")</f>
        <v/>
      </c>
    </row>
    <row r="71" spans="1:30" s="15" customFormat="1" ht="1.5" hidden="1" customHeight="1" outlineLevel="2" x14ac:dyDescent="0.3">
      <c r="A71" s="93" t="s">
        <v>101</v>
      </c>
      <c r="B71" s="21"/>
      <c r="C71" s="84"/>
      <c r="D71" s="84"/>
      <c r="E71" s="84"/>
      <c r="F71" s="83"/>
      <c r="G71" s="32"/>
      <c r="H71" s="32"/>
      <c r="I71" s="32"/>
      <c r="J71" s="32"/>
      <c r="K71" s="32"/>
      <c r="L71" s="175">
        <f ca="1">L70</f>
        <v>1</v>
      </c>
      <c r="M71" s="176" t="s">
        <v>105</v>
      </c>
      <c r="N71" s="173"/>
      <c r="O71" s="174"/>
      <c r="P71" s="33"/>
      <c r="Q71" s="33"/>
      <c r="R71" s="33"/>
      <c r="S71" s="33"/>
      <c r="T71" s="167"/>
      <c r="U71" s="33"/>
      <c r="V71" s="33"/>
      <c r="W71" s="33"/>
      <c r="X71" s="34"/>
      <c r="Y71" s="35"/>
      <c r="Z71" s="35"/>
      <c r="AA71" s="35"/>
      <c r="AB71" s="36"/>
      <c r="AC71" s="36"/>
      <c r="AD71" s="26"/>
    </row>
    <row r="72" spans="1:30" ht="43.2" hidden="1" outlineLevel="2" x14ac:dyDescent="0.3">
      <c r="A72" s="93" t="s">
        <v>0</v>
      </c>
      <c r="B72" s="21"/>
      <c r="C72" s="85"/>
      <c r="D72" s="85"/>
      <c r="E72" s="85"/>
      <c r="F72" s="86"/>
      <c r="G72" s="22" t="s">
        <v>6</v>
      </c>
      <c r="H72" s="22" t="s">
        <v>23</v>
      </c>
      <c r="I72" s="23" t="s">
        <v>23</v>
      </c>
      <c r="J72" s="22" t="s">
        <v>23</v>
      </c>
      <c r="K72" s="38"/>
      <c r="L72" s="22"/>
      <c r="M72" s="288" t="str">
        <f ca="1">IFERROR(OFFSET(M72,-1,,1,1)+0.1,OFFSET(M72,-1,-1,1,1)&amp;".1")</f>
        <v>1.1</v>
      </c>
      <c r="N72" s="23" t="s">
        <v>492</v>
      </c>
      <c r="O72" s="23"/>
      <c r="P72" s="23"/>
      <c r="Q72" s="144"/>
      <c r="R72" s="137"/>
      <c r="S72" s="169">
        <f>CEILING((IF(J72="Yes", 0, IF(H72="-",AA72,AA72+AA72*VLOOKUP(H72,BUFFERS_BY_TYPE,2,FALSE)))) +
   (IF(J72="Yes", 0, IF(H72="-",AA72,AA72+AA72*VLOOKUP(H72,BUFFERS_BY_TYPE,2,FALSE))))*VLOOKUP($S$5, SALES_CALL_SCALE_ARRAY, 2,FALSE),0.25)</f>
        <v>3</v>
      </c>
      <c r="T72" s="170"/>
      <c r="U72" s="24">
        <v>0</v>
      </c>
      <c r="V72" s="24">
        <v>1</v>
      </c>
      <c r="W72" s="24">
        <v>0</v>
      </c>
      <c r="X72" s="168">
        <v>3</v>
      </c>
      <c r="Y72" s="169">
        <f>CEILING((IF(P72=AS_DEV_EFFORT, DEV_EFFORT*Q72%,
                           IF(P72=AS_DURATION_EFFORT, (MANUAL_DURATION*5)*Q72%,
                                    (IF(Q72&lt;=1,X72,
                                          IF(SUM(U72:W72)=0,(Q72*X72),
                                               (((Q72*U72)*(X72+(X72*EXTRA_FOR_H)))+
                                               ((Q72*V72)*X72)+
                                               ((Q72*W72)*(X72-(X72*LESS_FOR_L)))
                                    )*IF(R72=0,1,R72))))))+Z72), 0.25)</f>
        <v>3</v>
      </c>
      <c r="Z72" s="25"/>
      <c r="AA72" s="169">
        <f>Y72+Y72*VLOOKUP(I72,EXTRAS_ARRAY,2,FALSE)</f>
        <v>3</v>
      </c>
      <c r="AB72" s="23"/>
      <c r="AC72" s="37"/>
      <c r="AD72" s="26" t="str">
        <f>IF(J72&lt;&gt;"Yes",
IF(S72&lt;=0,"Error: Effort value is not defined or is invalid.",
IF(AND(SUM(U72:W72)&gt;0,SUM(U72:W72)&lt;&gt;1),"Error: Complexity % distribution should sum to 100%.",
IF(AND(P72=AS_DEV_EFFORT,X72&lt;&gt;0),"Error: PDs should not be defined when defining as dev effort %.",
IF(AND(P72=AS_DURATION_EFFORT,X72&lt;&gt;0),"Error: PDs should not be defined when defining as duration effort %.","")))))</f>
        <v/>
      </c>
    </row>
    <row r="73" spans="1:30" ht="43.2" hidden="1" outlineLevel="2" x14ac:dyDescent="0.3">
      <c r="A73" s="93" t="s">
        <v>0</v>
      </c>
      <c r="B73" s="21"/>
      <c r="C73" s="85"/>
      <c r="D73" s="85"/>
      <c r="E73" s="85"/>
      <c r="F73" s="86"/>
      <c r="G73" s="22" t="s">
        <v>7</v>
      </c>
      <c r="H73" s="22" t="s">
        <v>23</v>
      </c>
      <c r="I73" s="23" t="s">
        <v>23</v>
      </c>
      <c r="J73" s="22" t="s">
        <v>23</v>
      </c>
      <c r="K73" s="38"/>
      <c r="L73" s="22"/>
      <c r="M73" s="288">
        <f ca="1">IFERROR(OFFSET(M73,-1,,1,1)+0.1,OFFSET(M73,-1,-1,1,1)&amp;".1")</f>
        <v>1.2000000000000002</v>
      </c>
      <c r="N73" s="23" t="s">
        <v>493</v>
      </c>
      <c r="O73" s="23"/>
      <c r="P73" s="23"/>
      <c r="Q73" s="144"/>
      <c r="R73" s="137"/>
      <c r="S73" s="169">
        <f>CEILING((IF(J73="Yes", 0, IF(H73="-",AA73,AA73+AA73*VLOOKUP(H73,BUFFERS_BY_TYPE,2,FALSE)))) +
   (IF(J73="Yes", 0, IF(H73="-",AA73,AA73+AA73*VLOOKUP(H73,BUFFERS_BY_TYPE,2,FALSE))))*VLOOKUP($S$5, SALES_CALL_SCALE_ARRAY, 2,FALSE),0.25)</f>
        <v>2</v>
      </c>
      <c r="T73" s="170"/>
      <c r="U73" s="24">
        <v>0</v>
      </c>
      <c r="V73" s="24">
        <v>1</v>
      </c>
      <c r="W73" s="24">
        <v>0</v>
      </c>
      <c r="X73" s="168">
        <v>2</v>
      </c>
      <c r="Y73" s="169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2</v>
      </c>
      <c r="Z73" s="25"/>
      <c r="AA73" s="169">
        <f>Y73+Y73*VLOOKUP(I73,EXTRAS_ARRAY,2,FALSE)</f>
        <v>2</v>
      </c>
      <c r="AB73" s="23"/>
      <c r="AC73" s="37"/>
      <c r="AD73" s="26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ht="43.2" hidden="1" outlineLevel="2" x14ac:dyDescent="0.3">
      <c r="A74" s="93" t="s">
        <v>0</v>
      </c>
      <c r="B74" s="21"/>
      <c r="C74" s="85"/>
      <c r="D74" s="85"/>
      <c r="E74" s="85"/>
      <c r="F74" s="86"/>
      <c r="G74" s="22" t="s">
        <v>7</v>
      </c>
      <c r="H74" s="22" t="s">
        <v>23</v>
      </c>
      <c r="I74" s="23" t="s">
        <v>23</v>
      </c>
      <c r="J74" s="22" t="s">
        <v>23</v>
      </c>
      <c r="K74" s="38"/>
      <c r="L74" s="22"/>
      <c r="M74" s="288">
        <f ca="1">IFERROR(OFFSET(M74,-1,,1,1)+0.1,OFFSET(M74,-1,-1,1,1)&amp;".1")</f>
        <v>1.3000000000000003</v>
      </c>
      <c r="N74" s="23" t="s">
        <v>494</v>
      </c>
      <c r="O74" s="23"/>
      <c r="P74" s="23"/>
      <c r="Q74" s="144"/>
      <c r="R74" s="137"/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2</v>
      </c>
      <c r="T74" s="170"/>
      <c r="U74" s="24">
        <v>0</v>
      </c>
      <c r="V74" s="24">
        <v>1</v>
      </c>
      <c r="W74" s="24">
        <v>0</v>
      </c>
      <c r="X74" s="168">
        <v>2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2</v>
      </c>
      <c r="Z74" s="25"/>
      <c r="AA74" s="169">
        <f>Y74+Y74*VLOOKUP(I74,EXTRAS_ARRAY,2,FALSE)</f>
        <v>2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spans="1:30" ht="43.2" hidden="1" outlineLevel="2" x14ac:dyDescent="0.3">
      <c r="A75" s="93" t="s">
        <v>0</v>
      </c>
      <c r="B75" s="21"/>
      <c r="C75" s="85"/>
      <c r="D75" s="85"/>
      <c r="E75" s="85"/>
      <c r="F75" s="86"/>
      <c r="G75" s="22" t="s">
        <v>7</v>
      </c>
      <c r="H75" s="22" t="s">
        <v>23</v>
      </c>
      <c r="I75" s="23" t="s">
        <v>23</v>
      </c>
      <c r="J75" s="22" t="s">
        <v>23</v>
      </c>
      <c r="K75" s="38"/>
      <c r="L75" s="22"/>
      <c r="M75" s="288">
        <f ca="1">IFERROR(OFFSET(M75,-1,,1,1)+0.1,OFFSET(M75,-1,-1,1,1)&amp;".1")</f>
        <v>1.4000000000000004</v>
      </c>
      <c r="N75" s="23" t="s">
        <v>495</v>
      </c>
      <c r="O75" s="23"/>
      <c r="P75" s="23"/>
      <c r="Q75" s="144"/>
      <c r="R75" s="137"/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1</v>
      </c>
      <c r="T75" s="170"/>
      <c r="U75" s="24">
        <v>0</v>
      </c>
      <c r="V75" s="24">
        <v>1</v>
      </c>
      <c r="W75" s="24">
        <v>0</v>
      </c>
      <c r="X75" s="168">
        <v>1</v>
      </c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1</v>
      </c>
      <c r="Z75" s="25"/>
      <c r="AA75" s="169">
        <f>Y75+Y75*VLOOKUP(I75,EXTRAS_ARRAY,2,FALSE)</f>
        <v>1</v>
      </c>
      <c r="AB75" s="23"/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/>
      </c>
    </row>
    <row r="76" spans="1:30" s="11" customFormat="1" ht="7.5" hidden="1" customHeight="1" outlineLevel="2" x14ac:dyDescent="0.3">
      <c r="A76" s="93" t="s">
        <v>132</v>
      </c>
      <c r="B76" s="18"/>
      <c r="C76" s="78"/>
      <c r="D76" s="78"/>
      <c r="E76" s="78"/>
      <c r="F76" s="78"/>
      <c r="G76" s="10"/>
      <c r="H76" s="10"/>
      <c r="I76" s="10"/>
      <c r="J76" s="10"/>
      <c r="K76" s="10"/>
      <c r="L76" s="10"/>
      <c r="M76" s="289"/>
      <c r="N76" s="10"/>
      <c r="O76" s="10"/>
      <c r="P76" s="10"/>
      <c r="Q76" s="10"/>
      <c r="R76" s="10"/>
      <c r="S76" s="10"/>
      <c r="T76" s="18"/>
      <c r="U76" s="10"/>
      <c r="V76" s="10"/>
      <c r="W76" s="10"/>
      <c r="X76" s="18"/>
      <c r="Y76" s="10"/>
      <c r="Z76" s="10"/>
      <c r="AA76" s="10"/>
      <c r="AB76" s="60"/>
      <c r="AC76" s="60"/>
      <c r="AD76" s="12"/>
    </row>
    <row r="77" spans="1:30" s="17" customFormat="1" ht="15.6" hidden="1" outlineLevel="1" collapsed="1" x14ac:dyDescent="0.3">
      <c r="A77" s="93" t="s">
        <v>100</v>
      </c>
      <c r="B77" s="21"/>
      <c r="C77" s="84"/>
      <c r="D77" s="84"/>
      <c r="E77" s="84"/>
      <c r="F77" s="83"/>
      <c r="G77" s="32"/>
      <c r="H77" s="32"/>
      <c r="I77" s="32"/>
      <c r="J77" s="32"/>
      <c r="K77" s="32"/>
      <c r="L77" s="20">
        <f ca="1">LOOKUP(1000,INDIRECT("L1:"&amp;CELL("address",INDIRECT("R[-1]C",FALSE))))+1</f>
        <v>2</v>
      </c>
      <c r="M77" s="318" t="s">
        <v>449</v>
      </c>
      <c r="N77" s="318"/>
      <c r="O77" s="5"/>
      <c r="P77" s="33"/>
      <c r="Q77" s="33"/>
      <c r="R77" s="33"/>
      <c r="S77" s="33"/>
      <c r="T77" s="167">
        <f>IF($S$6="Exclude", SUMIFS(S78:S84, J78:J84, "&lt;&gt;Yes", G78:G84, "&lt;&gt;Yes"), SUMIFS(S78:S84, J78:J84, "&lt;&gt;Yes"))</f>
        <v>9</v>
      </c>
      <c r="U77" s="33"/>
      <c r="V77" s="33"/>
      <c r="W77" s="33"/>
      <c r="X77" s="34"/>
      <c r="Y77" s="35"/>
      <c r="Z77" s="35"/>
      <c r="AA77" s="35"/>
      <c r="AB77" s="242"/>
      <c r="AC77" s="36"/>
      <c r="AD77" s="26" t="str">
        <f>IF(M77="", "Error: Task name cannot be empty.", "")</f>
        <v/>
      </c>
    </row>
    <row r="78" spans="1:30" s="15" customFormat="1" ht="1.5" hidden="1" customHeight="1" outlineLevel="2" x14ac:dyDescent="0.3">
      <c r="A78" s="93" t="s">
        <v>101</v>
      </c>
      <c r="B78" s="21"/>
      <c r="C78" s="84"/>
      <c r="D78" s="84"/>
      <c r="E78" s="84"/>
      <c r="F78" s="83"/>
      <c r="G78" s="32"/>
      <c r="H78" s="32"/>
      <c r="I78" s="32"/>
      <c r="J78" s="32"/>
      <c r="K78" s="32"/>
      <c r="L78" s="175">
        <f ca="1">L77</f>
        <v>2</v>
      </c>
      <c r="M78" s="176" t="s">
        <v>105</v>
      </c>
      <c r="N78" s="173"/>
      <c r="O78" s="174"/>
      <c r="P78" s="33"/>
      <c r="Q78" s="33"/>
      <c r="R78" s="33"/>
      <c r="S78" s="33"/>
      <c r="T78" s="167"/>
      <c r="U78" s="33"/>
      <c r="V78" s="33"/>
      <c r="W78" s="33"/>
      <c r="X78" s="34"/>
      <c r="Y78" s="35"/>
      <c r="Z78" s="35"/>
      <c r="AA78" s="35"/>
      <c r="AB78" s="36"/>
      <c r="AC78" s="36"/>
      <c r="AD78" s="26"/>
    </row>
    <row r="79" spans="1:30" ht="43.2" hidden="1" outlineLevel="2" x14ac:dyDescent="0.3">
      <c r="A79" s="93" t="s">
        <v>0</v>
      </c>
      <c r="B79" s="21"/>
      <c r="C79" s="85"/>
      <c r="D79" s="85"/>
      <c r="E79" s="85"/>
      <c r="F79" s="86"/>
      <c r="G79" s="22" t="s">
        <v>23</v>
      </c>
      <c r="H79" s="22" t="s">
        <v>23</v>
      </c>
      <c r="I79" s="23" t="s">
        <v>23</v>
      </c>
      <c r="J79" s="22" t="s">
        <v>23</v>
      </c>
      <c r="K79" s="38"/>
      <c r="L79" s="22"/>
      <c r="M79" s="288" t="str">
        <f ca="1">IFERROR(OFFSET(M79,-1,,1,1)+0.1,OFFSET(M79,-1,-1,1,1)&amp;".1")</f>
        <v>2.1</v>
      </c>
      <c r="N79" s="23" t="s">
        <v>496</v>
      </c>
      <c r="O79" s="23"/>
      <c r="P79" s="23"/>
      <c r="Q79" s="144"/>
      <c r="R79" s="137"/>
      <c r="S79" s="169">
        <f>CEILING((IF(J79="Yes", 0, IF(H79="-",AA79,AA79+AA79*VLOOKUP(H79,BUFFERS_BY_TYPE,2,FALSE)))) +
   (IF(J79="Yes", 0, IF(H79="-",AA79,AA79+AA79*VLOOKUP(H79,BUFFERS_BY_TYPE,2,FALSE))))*VLOOKUP($S$5, SALES_CALL_SCALE_ARRAY, 2,FALSE),0.25)</f>
        <v>1</v>
      </c>
      <c r="T79" s="170"/>
      <c r="U79" s="24">
        <v>0</v>
      </c>
      <c r="V79" s="24">
        <v>1</v>
      </c>
      <c r="W79" s="24">
        <v>0</v>
      </c>
      <c r="X79" s="168">
        <v>1</v>
      </c>
      <c r="Y79" s="169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1</v>
      </c>
      <c r="Z79" s="25"/>
      <c r="AA79" s="169">
        <f>Y79+Y79*VLOOKUP(I79,EXTRAS_ARRAY,2,FALSE)</f>
        <v>1</v>
      </c>
      <c r="AB79" s="23"/>
      <c r="AC79" s="37"/>
      <c r="AD79" s="26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43.2" hidden="1" outlineLevel="2" x14ac:dyDescent="0.3">
      <c r="A80" s="93" t="s">
        <v>0</v>
      </c>
      <c r="B80" s="21"/>
      <c r="C80" s="85"/>
      <c r="D80" s="85"/>
      <c r="E80" s="85"/>
      <c r="F80" s="86"/>
      <c r="G80" s="22" t="s">
        <v>23</v>
      </c>
      <c r="H80" s="22" t="s">
        <v>23</v>
      </c>
      <c r="I80" s="23" t="s">
        <v>23</v>
      </c>
      <c r="J80" s="22" t="s">
        <v>23</v>
      </c>
      <c r="K80" s="38"/>
      <c r="L80" s="22"/>
      <c r="M80" s="288">
        <f ca="1">IFERROR(OFFSET(M80,-1,,1,1)+0.1,OFFSET(M80,-1,-1,1,1)&amp;".1")</f>
        <v>2.2000000000000002</v>
      </c>
      <c r="N80" s="23" t="s">
        <v>497</v>
      </c>
      <c r="O80" s="23"/>
      <c r="P80" s="23"/>
      <c r="Q80" s="144"/>
      <c r="R80" s="137"/>
      <c r="S80" s="169">
        <f>CEILING((IF(J80="Yes", 0, IF(H80="-",AA80,AA80+AA80*VLOOKUP(H80,BUFFERS_BY_TYPE,2,FALSE)))) +
   (IF(J80="Yes", 0, IF(H80="-",AA80,AA80+AA80*VLOOKUP(H80,BUFFERS_BY_TYPE,2,FALSE))))*VLOOKUP($S$5, SALES_CALL_SCALE_ARRAY, 2,FALSE),0.25)</f>
        <v>1</v>
      </c>
      <c r="T80" s="170"/>
      <c r="U80" s="24">
        <v>0</v>
      </c>
      <c r="V80" s="24">
        <v>1</v>
      </c>
      <c r="W80" s="24">
        <v>0</v>
      </c>
      <c r="X80" s="168">
        <v>1</v>
      </c>
      <c r="Y80" s="169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1</v>
      </c>
      <c r="Z80" s="25"/>
      <c r="AA80" s="169">
        <f>Y80+Y80*VLOOKUP(I80,EXTRAS_ARRAY,2,FALSE)</f>
        <v>1</v>
      </c>
      <c r="AB80" s="23"/>
      <c r="AC80" s="37"/>
      <c r="AD80" s="26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43.2" hidden="1" outlineLevel="2" x14ac:dyDescent="0.3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8">
        <f ca="1">IFERROR(OFFSET(M81,-1,,1,1)+0.1,OFFSET(M81,-1,-1,1,1)&amp;".1")</f>
        <v>2.3000000000000003</v>
      </c>
      <c r="N81" s="23" t="s">
        <v>498</v>
      </c>
      <c r="O81" s="23"/>
      <c r="P81" s="23"/>
      <c r="Q81" s="144"/>
      <c r="R81" s="137"/>
      <c r="S81" s="169">
        <f>CEILING((IF(J81="Yes", 0, IF(H81="-",AA81,AA81+AA81*VLOOKUP(H81,BUFFERS_BY_TYPE,2,FALSE)))) +
   (IF(J81="Yes", 0, IF(H81="-",AA81,AA81+AA81*VLOOKUP(H81,BUFFERS_BY_TYPE,2,FALSE))))*VLOOKUP($S$5, SALES_CALL_SCALE_ARRAY, 2,FALSE),0.25)</f>
        <v>2</v>
      </c>
      <c r="T81" s="170"/>
      <c r="U81" s="24">
        <v>0</v>
      </c>
      <c r="V81" s="24">
        <v>1</v>
      </c>
      <c r="W81" s="24">
        <v>0</v>
      </c>
      <c r="X81" s="168">
        <v>2</v>
      </c>
      <c r="Y81" s="169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2</v>
      </c>
      <c r="Z81" s="25"/>
      <c r="AA81" s="169">
        <f>Y81+Y81*VLOOKUP(I81,EXTRAS_ARRAY,2,FALSE)</f>
        <v>2</v>
      </c>
      <c r="AB81" s="23"/>
      <c r="AC81" s="37"/>
      <c r="AD81" s="26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ht="43.2" hidden="1" outlineLevel="2" x14ac:dyDescent="0.3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8">
        <f ca="1">IFERROR(OFFSET(M82,-1,,1,1)+0.1,OFFSET(M82,-1,-1,1,1)&amp;".1")</f>
        <v>2.4000000000000004</v>
      </c>
      <c r="N82" s="23" t="s">
        <v>499</v>
      </c>
      <c r="O82" s="23"/>
      <c r="P82" s="23"/>
      <c r="Q82" s="144"/>
      <c r="R82" s="137"/>
      <c r="S82" s="169">
        <f>CEILING((IF(J82="Yes", 0, IF(H82="-",AA82,AA82+AA82*VLOOKUP(H82,BUFFERS_BY_TYPE,2,FALSE)))) +
   (IF(J82="Yes", 0, IF(H82="-",AA82,AA82+AA82*VLOOKUP(H82,BUFFERS_BY_TYPE,2,FALSE))))*VLOOKUP($S$5, SALES_CALL_SCALE_ARRAY, 2,FALSE),0.25)</f>
        <v>3</v>
      </c>
      <c r="T82" s="170"/>
      <c r="U82" s="24">
        <v>0</v>
      </c>
      <c r="V82" s="24">
        <v>1</v>
      </c>
      <c r="W82" s="24">
        <v>0</v>
      </c>
      <c r="X82" s="168">
        <v>3</v>
      </c>
      <c r="Y82" s="169">
        <f>CEILING((IF(P82=AS_DEV_EFFORT, DEV_EFFORT*Q82%,
                           IF(P82=AS_DURATION_EFFORT, (MANUAL_DURATION*5)*Q82%,
                                    (IF(Q82&lt;=1,X82,
                                          IF(SUM(U82:W82)=0,(Q82*X82),
                                               (((Q82*U82)*(X82+(X82*EXTRA_FOR_H)))+
                                               ((Q82*V82)*X82)+
                                               ((Q82*W82)*(X82-(X82*LESS_FOR_L)))
                                    )*IF(R82=0,1,R82))))))+Z82), 0.25)</f>
        <v>3</v>
      </c>
      <c r="Z82" s="25"/>
      <c r="AA82" s="169">
        <f>Y82+Y82*VLOOKUP(I82,EXTRAS_ARRAY,2,FALSE)</f>
        <v>3</v>
      </c>
      <c r="AB82" s="23"/>
      <c r="AC82" s="37"/>
      <c r="AD82" s="26" t="str">
        <f>IF(J82&lt;&gt;"Yes",
IF(S82&lt;=0,"Error: Effort value is not defined or is invalid.",
IF(AND(SUM(U82:W82)&gt;0,SUM(U82:W82)&lt;&gt;1),"Error: Complexity % distribution should sum to 100%.",
IF(AND(P82=AS_DEV_EFFORT,X82&lt;&gt;0),"Error: PDs should not be defined when defining as dev effort %.",
IF(AND(P82=AS_DURATION_EFFORT,X82&lt;&gt;0),"Error: PDs should not be defined when defining as duration effort %.","")))))</f>
        <v/>
      </c>
    </row>
    <row r="83" spans="1:30" ht="43.2" hidden="1" outlineLevel="2" x14ac:dyDescent="0.3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8">
        <f ca="1">IFERROR(OFFSET(M83,-1,,1,1)+0.1,OFFSET(M83,-1,-1,1,1)&amp;".1")</f>
        <v>2.5000000000000004</v>
      </c>
      <c r="N83" s="23" t="s">
        <v>500</v>
      </c>
      <c r="O83" s="23"/>
      <c r="P83" s="23"/>
      <c r="Q83" s="144"/>
      <c r="R83" s="137"/>
      <c r="S83" s="169">
        <f>CEILING((IF(J83="Yes", 0, IF(H83="-",AA83,AA83+AA83*VLOOKUP(H83,BUFFERS_BY_TYPE,2,FALSE)))) +
   (IF(J83="Yes", 0, IF(H83="-",AA83,AA83+AA83*VLOOKUP(H83,BUFFERS_BY_TYPE,2,FALSE))))*VLOOKUP($S$5, SALES_CALL_SCALE_ARRAY, 2,FALSE),0.25)</f>
        <v>2</v>
      </c>
      <c r="T83" s="170"/>
      <c r="U83" s="24">
        <v>0</v>
      </c>
      <c r="V83" s="24">
        <v>1</v>
      </c>
      <c r="W83" s="24">
        <v>0</v>
      </c>
      <c r="X83" s="168">
        <v>2</v>
      </c>
      <c r="Y83" s="169">
        <f>CEILING((IF(P83=AS_DEV_EFFORT, DEV_EFFORT*Q83%,
                           IF(P83=AS_DURATION_EFFORT, (MANUAL_DURATION*5)*Q83%,
                                    (IF(Q83&lt;=1,X83,
                                          IF(SUM(U83:W83)=0,(Q83*X83),
                                               (((Q83*U83)*(X83+(X83*EXTRA_FOR_H)))+
                                               ((Q83*V83)*X83)+
                                               ((Q83*W83)*(X83-(X83*LESS_FOR_L)))
                                    )*IF(R83=0,1,R83))))))+Z83), 0.25)</f>
        <v>2</v>
      </c>
      <c r="Z83" s="25"/>
      <c r="AA83" s="169">
        <f>Y83+Y83*VLOOKUP(I83,EXTRAS_ARRAY,2,FALSE)</f>
        <v>2</v>
      </c>
      <c r="AB83" s="23"/>
      <c r="AC83" s="37"/>
      <c r="AD83" s="26" t="str">
        <f>IF(J83&lt;&gt;"Yes",
IF(S83&lt;=0,"Error: Effort value is not defined or is invalid.",
IF(AND(SUM(U83:W83)&gt;0,SUM(U83:W83)&lt;&gt;1),"Error: Complexity % distribution should sum to 100%.",
IF(AND(P83=AS_DEV_EFFORT,X83&lt;&gt;0),"Error: PDs should not be defined when defining as dev effort %.",
IF(AND(P83=AS_DURATION_EFFORT,X83&lt;&gt;0),"Error: PDs should not be defined when defining as duration effort %.","")))))</f>
        <v/>
      </c>
    </row>
    <row r="84" spans="1:30" s="11" customFormat="1" ht="7.5" hidden="1" customHeight="1" outlineLevel="2" x14ac:dyDescent="0.3">
      <c r="A84" s="93" t="s">
        <v>132</v>
      </c>
      <c r="B84" s="18"/>
      <c r="C84" s="78"/>
      <c r="D84" s="78"/>
      <c r="E84" s="78"/>
      <c r="F84" s="78"/>
      <c r="G84" s="10"/>
      <c r="H84" s="10"/>
      <c r="I84" s="10"/>
      <c r="J84" s="10"/>
      <c r="K84" s="10"/>
      <c r="L84" s="10"/>
      <c r="M84" s="289"/>
      <c r="N84" s="10"/>
      <c r="O84" s="10"/>
      <c r="P84" s="10"/>
      <c r="Q84" s="10"/>
      <c r="R84" s="10"/>
      <c r="S84" s="10"/>
      <c r="T84" s="18"/>
      <c r="U84" s="10"/>
      <c r="V84" s="10"/>
      <c r="W84" s="10"/>
      <c r="X84" s="18"/>
      <c r="Y84" s="10"/>
      <c r="Z84" s="10"/>
      <c r="AA84" s="10"/>
      <c r="AB84" s="60"/>
      <c r="AC84" s="60"/>
      <c r="AD84" s="12"/>
    </row>
    <row r="85" spans="1:30" s="17" customFormat="1" ht="15.6" hidden="1" outlineLevel="1" x14ac:dyDescent="0.3">
      <c r="A85" s="93" t="s">
        <v>107</v>
      </c>
      <c r="B85" s="21"/>
      <c r="C85" s="84"/>
      <c r="D85" s="84"/>
      <c r="E85" s="84"/>
      <c r="F85" s="83"/>
      <c r="G85" s="185"/>
      <c r="H85" s="185"/>
      <c r="I85" s="185"/>
      <c r="J85" s="185"/>
      <c r="K85" s="185"/>
      <c r="L85" s="92" t="s">
        <v>109</v>
      </c>
      <c r="M85" s="336" t="s">
        <v>561</v>
      </c>
      <c r="N85" s="336"/>
      <c r="O85" s="87"/>
      <c r="P85" s="88"/>
      <c r="Q85" s="88"/>
      <c r="R85" s="88"/>
      <c r="S85" s="320">
        <f>SUMGROUP(ROW(), "T")</f>
        <v>10</v>
      </c>
      <c r="T85" s="320"/>
      <c r="U85" s="329"/>
      <c r="V85" s="329"/>
      <c r="W85" s="329"/>
      <c r="X85" s="89"/>
      <c r="Y85" s="90"/>
      <c r="Z85" s="90"/>
      <c r="AA85" s="90"/>
      <c r="AB85" s="245"/>
      <c r="AC85" s="91"/>
      <c r="AD85" s="26" t="str">
        <f>IF(M85="", "Error: Module name cannot be empty.", "")</f>
        <v/>
      </c>
    </row>
    <row r="86" spans="1:30" s="17" customFormat="1" ht="15.6" hidden="1" outlineLevel="1" collapsed="1" x14ac:dyDescent="0.3">
      <c r="A86" s="93" t="s">
        <v>100</v>
      </c>
      <c r="B86" s="21"/>
      <c r="C86" s="84"/>
      <c r="D86" s="84"/>
      <c r="E86" s="84"/>
      <c r="F86" s="83"/>
      <c r="G86" s="32"/>
      <c r="H86" s="32"/>
      <c r="I86" s="32"/>
      <c r="J86" s="32"/>
      <c r="K86" s="32"/>
      <c r="L86" s="20">
        <f ca="1">LOOKUP(1000,INDIRECT("L1:"&amp;CELL("address",INDIRECT("R[-1]C",FALSE))))+1</f>
        <v>3</v>
      </c>
      <c r="M86" s="318" t="s">
        <v>560</v>
      </c>
      <c r="N86" s="318"/>
      <c r="O86" s="5"/>
      <c r="P86" s="33"/>
      <c r="Q86" s="33"/>
      <c r="R86" s="33"/>
      <c r="S86" s="33"/>
      <c r="T86" s="167">
        <f>IF($S$6="Exclude", SUMIFS(S87:S91, J87:J91, "&lt;&gt;Yes", G87:G91, "&lt;&gt;Yes"), SUMIFS(S87:S91, J87:J91, "&lt;&gt;Yes"))</f>
        <v>10</v>
      </c>
      <c r="U86" s="33"/>
      <c r="V86" s="33"/>
      <c r="W86" s="33"/>
      <c r="X86" s="34"/>
      <c r="Y86" s="35"/>
      <c r="Z86" s="35"/>
      <c r="AA86" s="35"/>
      <c r="AB86" s="242"/>
      <c r="AC86" s="36"/>
      <c r="AD86" s="26" t="str">
        <f>IF(M86="", "Error: Task name cannot be empty.", "")</f>
        <v/>
      </c>
    </row>
    <row r="87" spans="1:30" s="15" customFormat="1" ht="1.5" hidden="1" customHeight="1" outlineLevel="2" x14ac:dyDescent="0.3">
      <c r="A87" s="93" t="s">
        <v>101</v>
      </c>
      <c r="B87" s="21"/>
      <c r="C87" s="84"/>
      <c r="D87" s="84"/>
      <c r="E87" s="84"/>
      <c r="F87" s="83"/>
      <c r="G87" s="32"/>
      <c r="H87" s="32"/>
      <c r="I87" s="32"/>
      <c r="J87" s="32"/>
      <c r="K87" s="32"/>
      <c r="L87" s="175">
        <f ca="1">L86</f>
        <v>3</v>
      </c>
      <c r="M87" s="176" t="s">
        <v>105</v>
      </c>
      <c r="N87" s="173"/>
      <c r="O87" s="174"/>
      <c r="P87" s="33"/>
      <c r="Q87" s="33"/>
      <c r="R87" s="33"/>
      <c r="S87" s="33"/>
      <c r="T87" s="167"/>
      <c r="U87" s="33"/>
      <c r="V87" s="33"/>
      <c r="W87" s="33"/>
      <c r="X87" s="34"/>
      <c r="Y87" s="35"/>
      <c r="Z87" s="35"/>
      <c r="AA87" s="35"/>
      <c r="AB87" s="36"/>
      <c r="AC87" s="36"/>
      <c r="AD87" s="26"/>
    </row>
    <row r="88" spans="1:30" ht="28.8" hidden="1" outlineLevel="2" x14ac:dyDescent="0.3">
      <c r="A88" s="93" t="s">
        <v>0</v>
      </c>
      <c r="B88" s="21"/>
      <c r="C88" s="85"/>
      <c r="D88" s="85"/>
      <c r="E88" s="85"/>
      <c r="F88" s="86"/>
      <c r="G88" s="22" t="s">
        <v>23</v>
      </c>
      <c r="H88" s="22" t="s">
        <v>23</v>
      </c>
      <c r="I88" s="23" t="s">
        <v>134</v>
      </c>
      <c r="J88" s="22" t="s">
        <v>23</v>
      </c>
      <c r="K88" s="38"/>
      <c r="L88" s="22"/>
      <c r="M88" s="288" t="str">
        <f ca="1">IFERROR(OFFSET(M88,-1,,1,1)+0.1,OFFSET(M88,-1,-1,1,1)&amp;".1")</f>
        <v>3.1</v>
      </c>
      <c r="N88" s="23" t="s">
        <v>558</v>
      </c>
      <c r="O88" s="23"/>
      <c r="P88" s="23"/>
      <c r="Q88" s="144"/>
      <c r="R88" s="137"/>
      <c r="S88" s="169">
        <f>CEILING((IF(J88="Yes", 0, IF(H88="-",AA88,AA88+AA88*VLOOKUP(H88,BUFFERS_BY_TYPE,2,FALSE)))) +
   (IF(J88="Yes", 0, IF(H88="-",AA88,AA88+AA88*VLOOKUP(H88,BUFFERS_BY_TYPE,2,FALSE))))*VLOOKUP($S$5, SALES_CALL_SCALE_ARRAY, 2,FALSE),0.25)</f>
        <v>2.5</v>
      </c>
      <c r="T88" s="170"/>
      <c r="U88" s="24">
        <v>0</v>
      </c>
      <c r="V88" s="24">
        <v>1</v>
      </c>
      <c r="W88" s="24">
        <v>0</v>
      </c>
      <c r="X88" s="168">
        <v>2</v>
      </c>
      <c r="Y88" s="169">
        <f>CEILING((IF(P88=AS_DEV_EFFORT, DEV_EFFORT*Q88%,
                           IF(P88=AS_DURATION_EFFORT, (MANUAL_DURATION*5)*Q88%,
                                    (IF(Q88&lt;=1,X88,
                                          IF(SUM(U88:W88)=0,(Q88*X88),
                                               (((Q88*U88)*(X88+(X88*EXTRA_FOR_H)))+
                                               ((Q88*V88)*X88)+
                                               ((Q88*W88)*(X88-(X88*LESS_FOR_L)))
                                    )*IF(R88=0,1,R88))))))+Z88), 0.25)</f>
        <v>2</v>
      </c>
      <c r="Z88" s="25"/>
      <c r="AA88" s="169">
        <f>Y88+Y88*VLOOKUP(I88,EXTRAS_ARRAY,2,FALSE)</f>
        <v>2.5</v>
      </c>
      <c r="AB88" s="23"/>
      <c r="AC88" s="37"/>
      <c r="AD88" s="26" t="str">
        <f>IF(J88&lt;&gt;"Yes",
IF(S88&lt;=0,"Error: Effort value is not defined or is invalid.",
IF(AND(SUM(U88:W88)&gt;0,SUM(U88:W88)&lt;&gt;1),"Error: Complexity % distribution should sum to 100%.",
IF(AND(P88=AS_DEV_EFFORT,X88&lt;&gt;0),"Error: PDs should not be defined when defining as dev effort %.",
IF(AND(P88=AS_DURATION_EFFORT,X88&lt;&gt;0),"Error: PDs should not be defined when defining as duration effort %.","")))))</f>
        <v/>
      </c>
    </row>
    <row r="89" spans="1:30" ht="28.8" hidden="1" outlineLevel="2" x14ac:dyDescent="0.3">
      <c r="A89" s="93" t="s">
        <v>0</v>
      </c>
      <c r="B89" s="21"/>
      <c r="C89" s="85"/>
      <c r="D89" s="85"/>
      <c r="E89" s="85"/>
      <c r="F89" s="86"/>
      <c r="G89" s="22" t="s">
        <v>23</v>
      </c>
      <c r="H89" s="22" t="s">
        <v>23</v>
      </c>
      <c r="I89" s="23" t="s">
        <v>134</v>
      </c>
      <c r="J89" s="22" t="s">
        <v>23</v>
      </c>
      <c r="K89" s="38"/>
      <c r="L89" s="22"/>
      <c r="M89" s="288">
        <f ca="1">IFERROR(OFFSET(M89,-1,,1,1)+0.1,OFFSET(M89,-1,-1,1,1)&amp;".1")</f>
        <v>3.2</v>
      </c>
      <c r="N89" s="23" t="s">
        <v>557</v>
      </c>
      <c r="O89" s="23"/>
      <c r="P89" s="23"/>
      <c r="Q89" s="144"/>
      <c r="R89" s="137"/>
      <c r="S89" s="169">
        <f>CEILING((IF(J89="Yes", 0, IF(H89="-",AA89,AA89+AA89*VLOOKUP(H89,BUFFERS_BY_TYPE,2,FALSE)))) +
   (IF(J89="Yes", 0, IF(H89="-",AA89,AA89+AA89*VLOOKUP(H89,BUFFERS_BY_TYPE,2,FALSE))))*VLOOKUP($S$5, SALES_CALL_SCALE_ARRAY, 2,FALSE),0.25)</f>
        <v>2.5</v>
      </c>
      <c r="T89" s="170"/>
      <c r="U89" s="24">
        <v>0</v>
      </c>
      <c r="V89" s="24">
        <v>1</v>
      </c>
      <c r="W89" s="24">
        <v>0</v>
      </c>
      <c r="X89" s="168">
        <v>2</v>
      </c>
      <c r="Y89" s="169">
        <f>CEILING((IF(P89=AS_DEV_EFFORT, DEV_EFFORT*Q89%,
                           IF(P89=AS_DURATION_EFFORT, (MANUAL_DURATION*5)*Q89%,
                                    (IF(Q89&lt;=1,X89,
                                          IF(SUM(U89:W89)=0,(Q89*X89),
                                               (((Q89*U89)*(X89+(X89*EXTRA_FOR_H)))+
                                               ((Q89*V89)*X89)+
                                               ((Q89*W89)*(X89-(X89*LESS_FOR_L)))
                                    )*IF(R89=0,1,R89))))))+Z89), 0.25)</f>
        <v>2</v>
      </c>
      <c r="Z89" s="25"/>
      <c r="AA89" s="169">
        <f>Y89+Y89*VLOOKUP(I89,EXTRAS_ARRAY,2,FALSE)</f>
        <v>2.5</v>
      </c>
      <c r="AB89" s="23"/>
      <c r="AC89" s="37"/>
      <c r="AD89" s="26" t="str">
        <f>IF(J89&lt;&gt;"Yes",
IF(S89&lt;=0,"Error: Effort value is not defined or is invalid.",
IF(AND(SUM(U89:W89)&gt;0,SUM(U89:W89)&lt;&gt;1),"Error: Complexity % distribution should sum to 100%.",
IF(AND(P89=AS_DEV_EFFORT,X89&lt;&gt;0),"Error: PDs should not be defined when defining as dev effort %.",
IF(AND(P89=AS_DURATION_EFFORT,X89&lt;&gt;0),"Error: PDs should not be defined when defining as duration effort %.","")))))</f>
        <v/>
      </c>
    </row>
    <row r="90" spans="1:30" ht="28.8" hidden="1" outlineLevel="2" x14ac:dyDescent="0.3">
      <c r="A90" s="93" t="s">
        <v>0</v>
      </c>
      <c r="B90" s="21"/>
      <c r="C90" s="85"/>
      <c r="D90" s="85"/>
      <c r="E90" s="85"/>
      <c r="F90" s="86"/>
      <c r="G90" s="22" t="s">
        <v>23</v>
      </c>
      <c r="H90" s="22" t="s">
        <v>23</v>
      </c>
      <c r="I90" s="23" t="s">
        <v>134</v>
      </c>
      <c r="J90" s="22" t="s">
        <v>23</v>
      </c>
      <c r="K90" s="38"/>
      <c r="L90" s="22"/>
      <c r="M90" s="288">
        <f ca="1">IFERROR(OFFSET(M90,-1,,1,1)+0.1,OFFSET(M90,-1,-1,1,1)&amp;".1")</f>
        <v>3.3000000000000003</v>
      </c>
      <c r="N90" s="23" t="s">
        <v>559</v>
      </c>
      <c r="O90" s="23"/>
      <c r="P90" s="23"/>
      <c r="Q90" s="144"/>
      <c r="R90" s="137"/>
      <c r="S90" s="169">
        <f>CEILING((IF(J90="Yes", 0, IF(H90="-",AA90,AA90+AA90*VLOOKUP(H90,BUFFERS_BY_TYPE,2,FALSE)))) +
   (IF(J90="Yes", 0, IF(H90="-",AA90,AA90+AA90*VLOOKUP(H90,BUFFERS_BY_TYPE,2,FALSE))))*VLOOKUP($S$5, SALES_CALL_SCALE_ARRAY, 2,FALSE),0.25)</f>
        <v>5</v>
      </c>
      <c r="T90" s="170"/>
      <c r="U90" s="24">
        <v>0</v>
      </c>
      <c r="V90" s="24">
        <v>1</v>
      </c>
      <c r="W90" s="24">
        <v>0</v>
      </c>
      <c r="X90" s="168">
        <v>4</v>
      </c>
      <c r="Y90" s="169">
        <f>CEILING((IF(P90=AS_DEV_EFFORT, DEV_EFFORT*Q90%,
                           IF(P90=AS_DURATION_EFFORT, (MANUAL_DURATION*5)*Q90%,
                                    (IF(Q90&lt;=1,X90,
                                          IF(SUM(U90:W90)=0,(Q90*X90),
                                               (((Q90*U90)*(X90+(X90*EXTRA_FOR_H)))+
                                               ((Q90*V90)*X90)+
                                               ((Q90*W90)*(X90-(X90*LESS_FOR_L)))
                                    )*IF(R90=0,1,R90))))))+Z90), 0.25)</f>
        <v>4</v>
      </c>
      <c r="Z90" s="25"/>
      <c r="AA90" s="169">
        <f>Y90+Y90*VLOOKUP(I90,EXTRAS_ARRAY,2,FALSE)</f>
        <v>5</v>
      </c>
      <c r="AB90" s="23" t="s">
        <v>445</v>
      </c>
      <c r="AC90" s="37"/>
      <c r="AD90" s="26" t="str">
        <f>IF(J90&lt;&gt;"Yes",
IF(S90&lt;=0,"Error: Effort value is not defined or is invalid.",
IF(AND(SUM(U90:W90)&gt;0,SUM(U90:W90)&lt;&gt;1),"Error: Complexity % distribution should sum to 100%.",
IF(AND(P90=AS_DEV_EFFORT,X90&lt;&gt;0),"Error: PDs should not be defined when defining as dev effort %.",
IF(AND(P90=AS_DURATION_EFFORT,X90&lt;&gt;0),"Error: PDs should not be defined when defining as duration effort %.","")))))</f>
        <v/>
      </c>
    </row>
    <row r="91" spans="1:30" s="11" customFormat="1" ht="7.5" hidden="1" customHeight="1" outlineLevel="2" x14ac:dyDescent="0.3">
      <c r="A91" s="93" t="s">
        <v>132</v>
      </c>
      <c r="B91" s="18"/>
      <c r="C91" s="78"/>
      <c r="D91" s="78"/>
      <c r="E91" s="78"/>
      <c r="F91" s="78"/>
      <c r="G91" s="10"/>
      <c r="H91" s="10"/>
      <c r="I91" s="10"/>
      <c r="J91" s="10"/>
      <c r="K91" s="10"/>
      <c r="L91" s="10"/>
      <c r="M91" s="289"/>
      <c r="N91" s="10"/>
      <c r="O91" s="10"/>
      <c r="P91" s="10"/>
      <c r="Q91" s="10"/>
      <c r="R91" s="10"/>
      <c r="S91" s="10"/>
      <c r="T91" s="18"/>
      <c r="U91" s="10"/>
      <c r="V91" s="10"/>
      <c r="W91" s="10"/>
      <c r="X91" s="18"/>
      <c r="Y91" s="10"/>
      <c r="Z91" s="10"/>
      <c r="AA91" s="10"/>
      <c r="AB91" s="60"/>
      <c r="AC91" s="60"/>
      <c r="AD91" s="12"/>
    </row>
    <row r="92" spans="1:30" s="17" customFormat="1" ht="15.6" hidden="1" outlineLevel="1" x14ac:dyDescent="0.3">
      <c r="A92" s="93" t="s">
        <v>107</v>
      </c>
      <c r="B92" s="21"/>
      <c r="C92" s="84"/>
      <c r="D92" s="84"/>
      <c r="E92" s="84"/>
      <c r="F92" s="83"/>
      <c r="G92" s="185"/>
      <c r="H92" s="185"/>
      <c r="I92" s="185"/>
      <c r="J92" s="185"/>
      <c r="K92" s="185"/>
      <c r="L92" s="92" t="s">
        <v>109</v>
      </c>
      <c r="M92" s="336" t="s">
        <v>450</v>
      </c>
      <c r="N92" s="336"/>
      <c r="O92" s="87"/>
      <c r="P92" s="88"/>
      <c r="Q92" s="88"/>
      <c r="R92" s="88"/>
      <c r="S92" s="320">
        <f>SUMGROUP(ROW(), "T")</f>
        <v>5.75</v>
      </c>
      <c r="T92" s="320"/>
      <c r="U92" s="329"/>
      <c r="V92" s="329"/>
      <c r="W92" s="329"/>
      <c r="X92" s="89"/>
      <c r="Y92" s="90"/>
      <c r="Z92" s="90"/>
      <c r="AA92" s="90"/>
      <c r="AB92" s="245"/>
      <c r="AC92" s="91"/>
      <c r="AD92" s="26" t="str">
        <f>IF(M92="", "Error: Module name cannot be empty.", "")</f>
        <v/>
      </c>
    </row>
    <row r="93" spans="1:30" s="17" customFormat="1" ht="15.6" hidden="1" outlineLevel="1" collapsed="1" x14ac:dyDescent="0.3">
      <c r="A93" s="93" t="s">
        <v>100</v>
      </c>
      <c r="B93" s="21"/>
      <c r="C93" s="84"/>
      <c r="D93" s="84"/>
      <c r="E93" s="84"/>
      <c r="F93" s="83"/>
      <c r="G93" s="32"/>
      <c r="H93" s="32"/>
      <c r="I93" s="32"/>
      <c r="J93" s="32"/>
      <c r="K93" s="32"/>
      <c r="L93" s="20">
        <f ca="1">LOOKUP(1000,INDIRECT("L1:"&amp;CELL("address",INDIRECT("R[-1]C",FALSE))))+1</f>
        <v>4</v>
      </c>
      <c r="M93" s="318" t="s">
        <v>451</v>
      </c>
      <c r="N93" s="318"/>
      <c r="O93" s="5"/>
      <c r="P93" s="33"/>
      <c r="Q93" s="33"/>
      <c r="R93" s="33"/>
      <c r="S93" s="33"/>
      <c r="T93" s="167">
        <f>IF($S$6="Exclude", SUMIFS(S94:S96, J94:J96, "&lt;&gt;Yes", G94:G96, "&lt;&gt;Yes"), SUMIFS(S94:S96, J94:J96, "&lt;&gt;Yes"))</f>
        <v>3.75</v>
      </c>
      <c r="U93" s="33"/>
      <c r="V93" s="33"/>
      <c r="W93" s="33"/>
      <c r="X93" s="34"/>
      <c r="Y93" s="35"/>
      <c r="Z93" s="35"/>
      <c r="AA93" s="35"/>
      <c r="AB93" s="242"/>
      <c r="AC93" s="36"/>
      <c r="AD93" s="26" t="str">
        <f>IF(M93="", "Error: Task name cannot be empty.", "")</f>
        <v/>
      </c>
    </row>
    <row r="94" spans="1:30" s="15" customFormat="1" ht="1.5" hidden="1" customHeight="1" outlineLevel="2" x14ac:dyDescent="0.3">
      <c r="A94" s="93" t="s">
        <v>101</v>
      </c>
      <c r="B94" s="21"/>
      <c r="C94" s="84"/>
      <c r="D94" s="84"/>
      <c r="E94" s="84"/>
      <c r="F94" s="83"/>
      <c r="G94" s="32"/>
      <c r="H94" s="32"/>
      <c r="I94" s="32"/>
      <c r="J94" s="32"/>
      <c r="K94" s="32"/>
      <c r="L94" s="175">
        <f ca="1">L93</f>
        <v>4</v>
      </c>
      <c r="M94" s="176" t="s">
        <v>105</v>
      </c>
      <c r="N94" s="173"/>
      <c r="O94" s="174"/>
      <c r="P94" s="33"/>
      <c r="Q94" s="33"/>
      <c r="R94" s="33"/>
      <c r="S94" s="33"/>
      <c r="T94" s="167"/>
      <c r="U94" s="33"/>
      <c r="V94" s="33"/>
      <c r="W94" s="33"/>
      <c r="X94" s="34"/>
      <c r="Y94" s="35"/>
      <c r="Z94" s="35"/>
      <c r="AA94" s="35"/>
      <c r="AB94" s="36"/>
      <c r="AC94" s="36"/>
      <c r="AD94" s="26"/>
    </row>
    <row r="95" spans="1:30" ht="43.2" hidden="1" outlineLevel="2" x14ac:dyDescent="0.3">
      <c r="A95" s="93" t="s">
        <v>0</v>
      </c>
      <c r="B95" s="21"/>
      <c r="C95" s="85"/>
      <c r="D95" s="85"/>
      <c r="E95" s="85"/>
      <c r="F95" s="86"/>
      <c r="G95" s="22" t="s">
        <v>23</v>
      </c>
      <c r="H95" s="22" t="s">
        <v>42</v>
      </c>
      <c r="I95" s="23" t="s">
        <v>135</v>
      </c>
      <c r="J95" s="22" t="s">
        <v>23</v>
      </c>
      <c r="K95" s="38"/>
      <c r="L95" s="22"/>
      <c r="M95" s="288" t="str">
        <f ca="1">IFERROR(OFFSET(M95,-1,,1,1)+0.1,OFFSET(M95,-1,-1,1,1)&amp;".1")</f>
        <v>4.1</v>
      </c>
      <c r="N95" s="23" t="s">
        <v>502</v>
      </c>
      <c r="O95" s="23"/>
      <c r="P95" s="23"/>
      <c r="Q95" s="144"/>
      <c r="R95" s="137"/>
      <c r="S95" s="169">
        <f>CEILING((IF(J95="Yes", 0, IF(H95="-",AA95,AA95+AA95*VLOOKUP(H95,BUFFERS_BY_TYPE,2,FALSE)))) +
   (IF(J95="Yes", 0, IF(H95="-",AA95,AA95+AA95*VLOOKUP(H95,BUFFERS_BY_TYPE,2,FALSE))))*VLOOKUP($S$5, SALES_CALL_SCALE_ARRAY, 2,FALSE),0.25)</f>
        <v>3.75</v>
      </c>
      <c r="T95" s="170"/>
      <c r="U95" s="24">
        <v>0</v>
      </c>
      <c r="V95" s="24">
        <v>1</v>
      </c>
      <c r="W95" s="24">
        <v>0</v>
      </c>
      <c r="X95" s="168">
        <v>3</v>
      </c>
      <c r="Y95" s="169">
        <f>CEILING((IF(P95=AS_DEV_EFFORT, DEV_EFFORT*Q95%,
                           IF(P95=AS_DURATION_EFFORT, (MANUAL_DURATION*5)*Q95%,
                                    (IF(Q95&lt;=1,X95,
                                          IF(SUM(U95:W95)=0,(Q95*X95),
                                               (((Q95*U95)*(X95+(X95*EXTRA_FOR_H)))+
                                               ((Q95*V95)*X95)+
                                               ((Q95*W95)*(X95-(X95*LESS_FOR_L)))
                                    )*IF(R95=0,1,R95))))))+Z95), 0.25)</f>
        <v>3</v>
      </c>
      <c r="Z95" s="25"/>
      <c r="AA95" s="169">
        <f>Y95+Y95*VLOOKUP(I95,EXTRAS_ARRAY,2,FALSE)</f>
        <v>3.3</v>
      </c>
      <c r="AB95" s="23"/>
      <c r="AC95" s="37"/>
      <c r="AD95" s="26" t="str">
        <f>IF(J95&lt;&gt;"Yes",
IF(S95&lt;=0,"Error: Effort value is not defined or is invalid.",
IF(AND(SUM(U95:W95)&gt;0,SUM(U95:W95)&lt;&gt;1),"Error: Complexity % distribution should sum to 100%.",
IF(AND(P95=AS_DEV_EFFORT,X95&lt;&gt;0),"Error: PDs should not be defined when defining as dev effort %.",
IF(AND(P95=AS_DURATION_EFFORT,X95&lt;&gt;0),"Error: PDs should not be defined when defining as duration effort %.","")))))</f>
        <v/>
      </c>
    </row>
    <row r="96" spans="1:30" s="11" customFormat="1" ht="7.5" hidden="1" customHeight="1" outlineLevel="2" x14ac:dyDescent="0.3">
      <c r="A96" s="93" t="s">
        <v>132</v>
      </c>
      <c r="B96" s="18"/>
      <c r="C96" s="78"/>
      <c r="D96" s="78"/>
      <c r="E96" s="78"/>
      <c r="F96" s="78"/>
      <c r="G96" s="10"/>
      <c r="H96" s="10"/>
      <c r="I96" s="10"/>
      <c r="J96" s="10"/>
      <c r="K96" s="10"/>
      <c r="L96" s="10"/>
      <c r="M96" s="289"/>
      <c r="N96" s="10"/>
      <c r="O96" s="10"/>
      <c r="P96" s="10"/>
      <c r="Q96" s="10"/>
      <c r="R96" s="10"/>
      <c r="S96" s="10"/>
      <c r="T96" s="18"/>
      <c r="U96" s="10"/>
      <c r="V96" s="10"/>
      <c r="W96" s="10"/>
      <c r="X96" s="18"/>
      <c r="Y96" s="10"/>
      <c r="Z96" s="10"/>
      <c r="AA96" s="10"/>
      <c r="AB96" s="60"/>
      <c r="AC96" s="60"/>
      <c r="AD96" s="12"/>
    </row>
    <row r="97" spans="1:30" s="17" customFormat="1" ht="15.6" hidden="1" outlineLevel="1" collapsed="1" x14ac:dyDescent="0.3">
      <c r="A97" s="93" t="s">
        <v>100</v>
      </c>
      <c r="B97" s="21"/>
      <c r="C97" s="84"/>
      <c r="D97" s="84"/>
      <c r="E97" s="84"/>
      <c r="F97" s="83"/>
      <c r="G97" s="32"/>
      <c r="H97" s="32"/>
      <c r="I97" s="32"/>
      <c r="J97" s="32"/>
      <c r="K97" s="32"/>
      <c r="L97" s="20">
        <f ca="1">LOOKUP(1000,INDIRECT("L1:"&amp;CELL("address",INDIRECT("R[-1]C",FALSE))))+1</f>
        <v>5</v>
      </c>
      <c r="M97" s="318" t="s">
        <v>452</v>
      </c>
      <c r="N97" s="318"/>
      <c r="O97" s="5"/>
      <c r="P97" s="33"/>
      <c r="Q97" s="33"/>
      <c r="R97" s="33"/>
      <c r="S97" s="33"/>
      <c r="T97" s="167">
        <f>IF($S$6="Exclude", SUMIFS(S98:S100, J98:J100, "&lt;&gt;Yes", G98:G100, "&lt;&gt;Yes"), SUMIFS(S98:S100, J98:J100, "&lt;&gt;Yes"))</f>
        <v>2</v>
      </c>
      <c r="U97" s="33"/>
      <c r="V97" s="33"/>
      <c r="W97" s="33"/>
      <c r="X97" s="34"/>
      <c r="Y97" s="35"/>
      <c r="Z97" s="35"/>
      <c r="AA97" s="35"/>
      <c r="AB97" s="242"/>
      <c r="AC97" s="36"/>
      <c r="AD97" s="26" t="str">
        <f>IF(M97="", "Error: Task name cannot be empty.", "")</f>
        <v/>
      </c>
    </row>
    <row r="98" spans="1:30" s="15" customFormat="1" ht="1.5" hidden="1" customHeight="1" outlineLevel="2" x14ac:dyDescent="0.3">
      <c r="A98" s="93" t="s">
        <v>101</v>
      </c>
      <c r="B98" s="21"/>
      <c r="C98" s="84"/>
      <c r="D98" s="84"/>
      <c r="E98" s="84"/>
      <c r="F98" s="83"/>
      <c r="G98" s="32"/>
      <c r="H98" s="32"/>
      <c r="I98" s="32"/>
      <c r="J98" s="32"/>
      <c r="K98" s="32"/>
      <c r="L98" s="175">
        <f ca="1">L97</f>
        <v>5</v>
      </c>
      <c r="M98" s="176" t="s">
        <v>105</v>
      </c>
      <c r="N98" s="173"/>
      <c r="O98" s="174"/>
      <c r="P98" s="33"/>
      <c r="Q98" s="33"/>
      <c r="R98" s="33"/>
      <c r="S98" s="33"/>
      <c r="T98" s="167"/>
      <c r="U98" s="33"/>
      <c r="V98" s="33"/>
      <c r="W98" s="33"/>
      <c r="X98" s="34"/>
      <c r="Y98" s="35"/>
      <c r="Z98" s="35"/>
      <c r="AA98" s="35"/>
      <c r="AB98" s="36"/>
      <c r="AC98" s="36"/>
      <c r="AD98" s="26"/>
    </row>
    <row r="99" spans="1:30" ht="43.2" hidden="1" outlineLevel="2" x14ac:dyDescent="0.3">
      <c r="A99" s="93" t="s">
        <v>0</v>
      </c>
      <c r="B99" s="21"/>
      <c r="C99" s="85"/>
      <c r="D99" s="85"/>
      <c r="E99" s="85"/>
      <c r="F99" s="86"/>
      <c r="G99" s="22" t="s">
        <v>23</v>
      </c>
      <c r="H99" s="22" t="s">
        <v>23</v>
      </c>
      <c r="I99" s="23" t="s">
        <v>23</v>
      </c>
      <c r="J99" s="22" t="s">
        <v>23</v>
      </c>
      <c r="K99" s="38"/>
      <c r="L99" s="22"/>
      <c r="M99" s="288" t="str">
        <f ca="1">IFERROR(OFFSET(M99,-1,,1,1)+0.1,OFFSET(M99,-1,-1,1,1)&amp;".1")</f>
        <v>5.1</v>
      </c>
      <c r="N99" s="23" t="s">
        <v>501</v>
      </c>
      <c r="O99" s="23"/>
      <c r="P99" s="23"/>
      <c r="Q99" s="144"/>
      <c r="R99" s="137"/>
      <c r="S99" s="169">
        <f>CEILING((IF(J99="Yes", 0, IF(H99="-",AA99,AA99+AA99*VLOOKUP(H99,BUFFERS_BY_TYPE,2,FALSE)))) +
   (IF(J99="Yes", 0, IF(H99="-",AA99,AA99+AA99*VLOOKUP(H99,BUFFERS_BY_TYPE,2,FALSE))))*VLOOKUP($S$5, SALES_CALL_SCALE_ARRAY, 2,FALSE),0.25)</f>
        <v>2</v>
      </c>
      <c r="T99" s="170"/>
      <c r="U99" s="24">
        <v>0</v>
      </c>
      <c r="V99" s="24">
        <v>1</v>
      </c>
      <c r="W99" s="24">
        <v>0</v>
      </c>
      <c r="X99" s="168">
        <v>2</v>
      </c>
      <c r="Y99" s="169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2</v>
      </c>
      <c r="Z99" s="25"/>
      <c r="AA99" s="169">
        <f>Y99+Y99*VLOOKUP(I99,EXTRAS_ARRAY,2,FALSE)</f>
        <v>2</v>
      </c>
      <c r="AB99" s="23"/>
      <c r="AC99" s="37"/>
      <c r="AD99" s="26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s="11" customFormat="1" ht="7.5" hidden="1" customHeight="1" outlineLevel="2" x14ac:dyDescent="0.3">
      <c r="A100" s="93" t="s">
        <v>132</v>
      </c>
      <c r="B100" s="18"/>
      <c r="C100" s="78"/>
      <c r="D100" s="78"/>
      <c r="E100" s="78"/>
      <c r="F100" s="78"/>
      <c r="G100" s="10"/>
      <c r="H100" s="10"/>
      <c r="I100" s="10"/>
      <c r="J100" s="10"/>
      <c r="K100" s="10"/>
      <c r="L100" s="10"/>
      <c r="M100" s="289"/>
      <c r="N100" s="10"/>
      <c r="O100" s="10"/>
      <c r="P100" s="10"/>
      <c r="Q100" s="10"/>
      <c r="R100" s="10"/>
      <c r="S100" s="10"/>
      <c r="T100" s="18"/>
      <c r="U100" s="10"/>
      <c r="V100" s="10"/>
      <c r="W100" s="10"/>
      <c r="X100" s="18"/>
      <c r="Y100" s="10"/>
      <c r="Z100" s="10"/>
      <c r="AA100" s="10"/>
      <c r="AB100" s="60"/>
      <c r="AC100" s="60"/>
      <c r="AD100" s="12"/>
    </row>
    <row r="101" spans="1:30" s="11" customFormat="1" ht="3" hidden="1" customHeight="1" outlineLevel="1" x14ac:dyDescent="0.3">
      <c r="A101" s="93" t="s">
        <v>102</v>
      </c>
      <c r="B101" s="10"/>
      <c r="C101" s="78"/>
      <c r="D101" s="78"/>
      <c r="E101" s="78"/>
      <c r="F101" s="78"/>
      <c r="G101" s="59"/>
      <c r="H101" s="59"/>
      <c r="I101" s="59"/>
      <c r="J101" s="59"/>
      <c r="K101" s="59"/>
      <c r="L101" s="61"/>
      <c r="M101" s="290"/>
      <c r="N101" s="62"/>
      <c r="O101" s="62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2"/>
      <c r="AC101" s="62"/>
      <c r="AD101" s="12"/>
    </row>
    <row r="102" spans="1:30" s="17" customFormat="1" ht="18" collapsed="1" x14ac:dyDescent="0.3">
      <c r="A102" s="93" t="s">
        <v>98</v>
      </c>
      <c r="B102" s="14"/>
      <c r="C102" s="79"/>
      <c r="D102" s="79"/>
      <c r="E102" s="79"/>
      <c r="F102" s="78"/>
      <c r="G102" s="55"/>
      <c r="H102" s="55"/>
      <c r="I102" s="55"/>
      <c r="J102" s="55"/>
      <c r="K102" s="55"/>
      <c r="L102" s="55" t="s">
        <v>70</v>
      </c>
      <c r="M102" s="286" t="s">
        <v>74</v>
      </c>
      <c r="N102" s="56"/>
      <c r="O102" s="57"/>
      <c r="P102" s="58"/>
      <c r="Q102" s="58"/>
      <c r="R102" s="58"/>
      <c r="S102" s="319">
        <f>CEILING(SUMIF(J103:J128, "&lt;&gt;Yes", T103:T128),1)</f>
        <v>43</v>
      </c>
      <c r="T102" s="319"/>
      <c r="U102" s="58"/>
      <c r="V102" s="58"/>
      <c r="W102" s="58"/>
      <c r="X102" s="58"/>
      <c r="Y102" s="58"/>
      <c r="Z102" s="58"/>
      <c r="AA102" s="58"/>
      <c r="AB102" s="58"/>
      <c r="AC102" s="58"/>
      <c r="AD102" s="16"/>
    </row>
    <row r="103" spans="1:30" s="11" customFormat="1" ht="3" hidden="1" customHeight="1" outlineLevel="1" x14ac:dyDescent="0.3">
      <c r="A103" s="93" t="s">
        <v>99</v>
      </c>
      <c r="B103" s="18"/>
      <c r="C103" s="78"/>
      <c r="D103" s="78"/>
      <c r="E103" s="78"/>
      <c r="F103" s="78"/>
      <c r="G103" s="28"/>
      <c r="H103" s="28"/>
      <c r="I103" s="28"/>
      <c r="J103" s="28"/>
      <c r="K103" s="28"/>
      <c r="L103" s="29">
        <v>0</v>
      </c>
      <c r="M103" s="287"/>
      <c r="N103" s="28"/>
      <c r="O103" s="28"/>
      <c r="P103" s="28"/>
      <c r="Q103" s="28"/>
      <c r="R103" s="28"/>
      <c r="S103" s="28"/>
      <c r="T103" s="30"/>
      <c r="U103" s="28"/>
      <c r="V103" s="28"/>
      <c r="W103" s="28"/>
      <c r="X103" s="30"/>
      <c r="Y103" s="28"/>
      <c r="Z103" s="28"/>
      <c r="AA103" s="28"/>
      <c r="AB103" s="31"/>
      <c r="AC103" s="31"/>
      <c r="AD103" s="12"/>
    </row>
    <row r="104" spans="1:30" s="17" customFormat="1" ht="15.6" hidden="1" outlineLevel="1" x14ac:dyDescent="0.3">
      <c r="A104" s="93" t="s">
        <v>100</v>
      </c>
      <c r="B104" s="21"/>
      <c r="C104" s="84"/>
      <c r="D104" s="84"/>
      <c r="E104" s="84"/>
      <c r="F104" s="83"/>
      <c r="G104" s="32"/>
      <c r="H104" s="32"/>
      <c r="I104" s="32"/>
      <c r="J104" s="32"/>
      <c r="K104" s="32"/>
      <c r="L104" s="20">
        <f ca="1">LOOKUP(1000,INDIRECT("L1:"&amp;CELL("address",INDIRECT("R[-1]C",FALSE))))+1</f>
        <v>1</v>
      </c>
      <c r="M104" s="318" t="s">
        <v>503</v>
      </c>
      <c r="N104" s="318"/>
      <c r="O104" s="5"/>
      <c r="P104" s="33"/>
      <c r="Q104" s="33"/>
      <c r="R104" s="33"/>
      <c r="S104" s="33"/>
      <c r="T104" s="167">
        <f>IF($S$6="Exclude", SUMIFS(S105:S108, J105:J108, "&lt;&gt;Yes", G105:G108, "&lt;&gt;Yes"), SUMIFS(S105:S108, J105:J108, "&lt;&gt;Yes"))</f>
        <v>14.5</v>
      </c>
      <c r="U104" s="33"/>
      <c r="V104" s="33"/>
      <c r="W104" s="33"/>
      <c r="X104" s="34"/>
      <c r="Y104" s="35"/>
      <c r="Z104" s="35"/>
      <c r="AA104" s="35"/>
      <c r="AB104" s="242"/>
      <c r="AC104" s="36"/>
      <c r="AD104" s="26" t="str">
        <f>IF(M104="", "Error: Task name cannot be empty.", "")</f>
        <v/>
      </c>
    </row>
    <row r="105" spans="1:30" s="15" customFormat="1" ht="1.5" hidden="1" customHeight="1" outlineLevel="2" x14ac:dyDescent="0.3">
      <c r="A105" s="93" t="s">
        <v>101</v>
      </c>
      <c r="B105" s="21"/>
      <c r="C105" s="84"/>
      <c r="D105" s="84"/>
      <c r="E105" s="84"/>
      <c r="F105" s="83"/>
      <c r="G105" s="32"/>
      <c r="H105" s="32"/>
      <c r="I105" s="32"/>
      <c r="J105" s="32"/>
      <c r="K105" s="32"/>
      <c r="L105" s="175">
        <f ca="1">L104</f>
        <v>1</v>
      </c>
      <c r="M105" s="176" t="s">
        <v>105</v>
      </c>
      <c r="N105" s="173"/>
      <c r="O105" s="174"/>
      <c r="P105" s="33"/>
      <c r="Q105" s="33"/>
      <c r="R105" s="33"/>
      <c r="S105" s="33"/>
      <c r="T105" s="167"/>
      <c r="U105" s="33"/>
      <c r="V105" s="33"/>
      <c r="W105" s="33"/>
      <c r="X105" s="34"/>
      <c r="Y105" s="35"/>
      <c r="Z105" s="35"/>
      <c r="AA105" s="35"/>
      <c r="AB105" s="36"/>
      <c r="AC105" s="36"/>
      <c r="AD105" s="26"/>
    </row>
    <row r="106" spans="1:30" ht="43.2" hidden="1" outlineLevel="2" x14ac:dyDescent="0.3">
      <c r="A106" s="93" t="s">
        <v>0</v>
      </c>
      <c r="B106" s="21"/>
      <c r="C106" s="85"/>
      <c r="D106" s="85"/>
      <c r="E106" s="85"/>
      <c r="F106" s="86"/>
      <c r="G106" s="22" t="s">
        <v>23</v>
      </c>
      <c r="H106" s="22" t="s">
        <v>23</v>
      </c>
      <c r="I106" s="23" t="s">
        <v>23</v>
      </c>
      <c r="J106" s="22" t="s">
        <v>23</v>
      </c>
      <c r="K106" s="38"/>
      <c r="L106" s="22"/>
      <c r="M106" s="288" t="str">
        <f ca="1">IFERROR(OFFSET(M106,-1,,1,1)+0.1,OFFSET(M106,-1,-1,1,1)&amp;".1")</f>
        <v>1.1</v>
      </c>
      <c r="N106" s="23" t="s">
        <v>504</v>
      </c>
      <c r="O106" s="23"/>
      <c r="P106" s="23"/>
      <c r="Q106" s="144"/>
      <c r="R106" s="137"/>
      <c r="S106" s="169">
        <f>CEILING((IF(J106="Yes", 0, IF(H106="-",AA106,AA106+AA106*VLOOKUP(H106,BUFFERS_BY_TYPE,2,FALSE)))) +
   (IF(J106="Yes", 0, IF(H106="-",AA106,AA106+AA106*VLOOKUP(H106,BUFFERS_BY_TYPE,2,FALSE))))*VLOOKUP($S$5, SALES_CALL_SCALE_ARRAY, 2,FALSE),0.25)</f>
        <v>2</v>
      </c>
      <c r="T106" s="170"/>
      <c r="U106" s="24">
        <v>0</v>
      </c>
      <c r="V106" s="24">
        <v>1</v>
      </c>
      <c r="W106" s="24">
        <v>0</v>
      </c>
      <c r="X106" s="168">
        <v>2</v>
      </c>
      <c r="Y106" s="169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2</v>
      </c>
      <c r="Z106" s="25"/>
      <c r="AA106" s="169">
        <f>Y106+Y106*VLOOKUP(I106,EXTRAS_ARRAY,2,FALSE)</f>
        <v>2</v>
      </c>
      <c r="AB106" s="23"/>
      <c r="AC106" s="37"/>
      <c r="AD106" s="26" t="str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spans="1:30" ht="43.2" hidden="1" outlineLevel="2" x14ac:dyDescent="0.3">
      <c r="A107" s="93" t="s">
        <v>0</v>
      </c>
      <c r="B107" s="21"/>
      <c r="C107" s="85"/>
      <c r="D107" s="85"/>
      <c r="E107" s="85"/>
      <c r="F107" s="86"/>
      <c r="G107" s="22" t="s">
        <v>23</v>
      </c>
      <c r="H107" s="22" t="s">
        <v>23</v>
      </c>
      <c r="I107" s="23" t="s">
        <v>23</v>
      </c>
      <c r="J107" s="22" t="s">
        <v>23</v>
      </c>
      <c r="K107" s="38"/>
      <c r="L107" s="22"/>
      <c r="M107" s="288">
        <f ca="1">IFERROR(OFFSET(M107,-1,,1,1)+0.1,OFFSET(M107,-1,-1,1,1)&amp;".1")</f>
        <v>1.2000000000000002</v>
      </c>
      <c r="N107" s="23" t="s">
        <v>505</v>
      </c>
      <c r="O107" s="23"/>
      <c r="P107" s="23" t="s">
        <v>491</v>
      </c>
      <c r="Q107" s="144">
        <v>50</v>
      </c>
      <c r="R107" s="137"/>
      <c r="S107" s="169">
        <f>CEILING((IF(J107="Yes", 0, IF(H107="-",AA107,AA107+AA107*VLOOKUP(H107,BUFFERS_BY_TYPE,2,FALSE)))) +
   (IF(J107="Yes", 0, IF(H107="-",AA107,AA107+AA107*VLOOKUP(H107,BUFFERS_BY_TYPE,2,FALSE))))*VLOOKUP($S$5, SALES_CALL_SCALE_ARRAY, 2,FALSE),0.25)</f>
        <v>12.5</v>
      </c>
      <c r="T107" s="170"/>
      <c r="U107" s="24">
        <v>0</v>
      </c>
      <c r="V107" s="24">
        <v>1</v>
      </c>
      <c r="W107" s="24">
        <v>0</v>
      </c>
      <c r="X107" s="168">
        <v>0.25</v>
      </c>
      <c r="Y107" s="169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12.5</v>
      </c>
      <c r="Z107" s="25"/>
      <c r="AA107" s="169">
        <f>Y107+Y107*VLOOKUP(I107,EXTRAS_ARRAY,2,FALSE)</f>
        <v>12.5</v>
      </c>
      <c r="AB107" s="23"/>
      <c r="AC107" s="37"/>
      <c r="AD107" s="26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spans="1:30" s="11" customFormat="1" ht="7.5" hidden="1" customHeight="1" outlineLevel="2" x14ac:dyDescent="0.3">
      <c r="A108" s="93" t="s">
        <v>132</v>
      </c>
      <c r="B108" s="18"/>
      <c r="C108" s="78"/>
      <c r="D108" s="78"/>
      <c r="E108" s="78"/>
      <c r="F108" s="78"/>
      <c r="G108" s="10"/>
      <c r="H108" s="10"/>
      <c r="I108" s="10"/>
      <c r="J108" s="10"/>
      <c r="K108" s="10"/>
      <c r="L108" s="10"/>
      <c r="M108" s="289"/>
      <c r="N108" s="10"/>
      <c r="O108" s="10"/>
      <c r="P108" s="10"/>
      <c r="Q108" s="10"/>
      <c r="R108" s="10"/>
      <c r="S108" s="10"/>
      <c r="T108" s="18"/>
      <c r="U108" s="10"/>
      <c r="V108" s="10"/>
      <c r="W108" s="10"/>
      <c r="X108" s="18"/>
      <c r="Y108" s="10"/>
      <c r="Z108" s="10"/>
      <c r="AA108" s="10"/>
      <c r="AB108" s="60"/>
      <c r="AC108" s="60"/>
      <c r="AD108" s="12"/>
    </row>
    <row r="109" spans="1:30" s="17" customFormat="1" ht="15.6" hidden="1" outlineLevel="1" x14ac:dyDescent="0.3">
      <c r="A109" s="93" t="s">
        <v>100</v>
      </c>
      <c r="B109" s="21"/>
      <c r="C109" s="84"/>
      <c r="D109" s="84"/>
      <c r="E109" s="84"/>
      <c r="F109" s="83"/>
      <c r="G109" s="32"/>
      <c r="H109" s="32"/>
      <c r="I109" s="32"/>
      <c r="J109" s="32"/>
      <c r="K109" s="32"/>
      <c r="L109" s="20">
        <f ca="1">LOOKUP(1000,INDIRECT("L1:"&amp;CELL("address",INDIRECT("R[-1]C",FALSE))))+1</f>
        <v>2</v>
      </c>
      <c r="M109" s="318" t="s">
        <v>506</v>
      </c>
      <c r="N109" s="318"/>
      <c r="O109" s="5"/>
      <c r="P109" s="33"/>
      <c r="Q109" s="33"/>
      <c r="R109" s="33"/>
      <c r="S109" s="33"/>
      <c r="T109" s="167">
        <f>IF($S$6="Exclude", SUMIFS(S110:S115, J110:J115, "&lt;&gt;Yes", G110:G115, "&lt;&gt;Yes"), SUMIFS(S110:S115, J110:J115, "&lt;&gt;Yes"))</f>
        <v>10</v>
      </c>
      <c r="U109" s="33"/>
      <c r="V109" s="33"/>
      <c r="W109" s="33"/>
      <c r="X109" s="34"/>
      <c r="Y109" s="35"/>
      <c r="Z109" s="35"/>
      <c r="AA109" s="35"/>
      <c r="AB109" s="242"/>
      <c r="AC109" s="36"/>
      <c r="AD109" s="26" t="str">
        <f>IF(M109="", "Error: Task name cannot be empty.", "")</f>
        <v/>
      </c>
    </row>
    <row r="110" spans="1:30" s="15" customFormat="1" ht="1.5" hidden="1" customHeight="1" outlineLevel="2" x14ac:dyDescent="0.3">
      <c r="A110" s="93" t="s">
        <v>101</v>
      </c>
      <c r="B110" s="21"/>
      <c r="C110" s="84"/>
      <c r="D110" s="84"/>
      <c r="E110" s="84"/>
      <c r="F110" s="83"/>
      <c r="G110" s="32"/>
      <c r="H110" s="32"/>
      <c r="I110" s="32"/>
      <c r="J110" s="32"/>
      <c r="K110" s="32"/>
      <c r="L110" s="175">
        <f ca="1">L109</f>
        <v>2</v>
      </c>
      <c r="M110" s="176" t="s">
        <v>105</v>
      </c>
      <c r="N110" s="173"/>
      <c r="O110" s="174"/>
      <c r="P110" s="33"/>
      <c r="Q110" s="33"/>
      <c r="R110" s="33"/>
      <c r="S110" s="33"/>
      <c r="T110" s="167"/>
      <c r="U110" s="33"/>
      <c r="V110" s="33"/>
      <c r="W110" s="33"/>
      <c r="X110" s="34"/>
      <c r="Y110" s="35"/>
      <c r="Z110" s="35"/>
      <c r="AA110" s="35"/>
      <c r="AB110" s="36"/>
      <c r="AC110" s="36"/>
      <c r="AD110" s="26"/>
    </row>
    <row r="111" spans="1:30" ht="43.2" hidden="1" outlineLevel="2" x14ac:dyDescent="0.3">
      <c r="A111" s="93" t="s">
        <v>0</v>
      </c>
      <c r="B111" s="21"/>
      <c r="C111" s="85"/>
      <c r="D111" s="85"/>
      <c r="E111" s="85"/>
      <c r="F111" s="86"/>
      <c r="G111" s="22" t="s">
        <v>23</v>
      </c>
      <c r="H111" s="22" t="s">
        <v>23</v>
      </c>
      <c r="I111" s="23" t="s">
        <v>23</v>
      </c>
      <c r="J111" s="22" t="s">
        <v>23</v>
      </c>
      <c r="K111" s="38"/>
      <c r="L111" s="22"/>
      <c r="M111" s="288" t="str">
        <f ca="1">IFERROR(OFFSET(M111,-1,,1,1)+0.1,OFFSET(M111,-1,-1,1,1)&amp;".1")</f>
        <v>2.1</v>
      </c>
      <c r="N111" s="23" t="s">
        <v>507</v>
      </c>
      <c r="O111" s="23"/>
      <c r="P111" s="23" t="s">
        <v>511</v>
      </c>
      <c r="Q111" s="144">
        <v>2</v>
      </c>
      <c r="R111" s="137"/>
      <c r="S111" s="169">
        <f>CEILING((IF(J111="Yes", 0, IF(H111="-",AA111,AA111+AA111*VLOOKUP(H111,BUFFERS_BY_TYPE,2,FALSE)))) +
   (IF(J111="Yes", 0, IF(H111="-",AA111,AA111+AA111*VLOOKUP(H111,BUFFERS_BY_TYPE,2,FALSE))))*VLOOKUP($S$5, SALES_CALL_SCALE_ARRAY, 2,FALSE),0.25)</f>
        <v>4</v>
      </c>
      <c r="T111" s="170"/>
      <c r="U111" s="24">
        <v>0</v>
      </c>
      <c r="V111" s="24">
        <v>1</v>
      </c>
      <c r="W111" s="24">
        <v>0</v>
      </c>
      <c r="X111" s="168">
        <v>2</v>
      </c>
      <c r="Y111" s="169">
        <f>CEILING((IF(P111=AS_DEV_EFFORT, DEV_EFFORT*Q111%,
                           IF(P111=AS_DURATION_EFFORT, (MANUAL_DURATION*5)*Q111%,
                                    (IF(Q111&lt;=1,X111,
                                          IF(SUM(U111:W111)=0,(Q111*X111),
                                               (((Q111*U111)*(X111+(X111*EXTRA_FOR_H)))+
                                               ((Q111*V111)*X111)+
                                               ((Q111*W111)*(X111-(X111*LESS_FOR_L)))
                                    )*IF(R111=0,1,R111))))))+Z111), 0.25)</f>
        <v>4</v>
      </c>
      <c r="Z111" s="25"/>
      <c r="AA111" s="169">
        <f>Y111+Y111*VLOOKUP(I111,EXTRAS_ARRAY,2,FALSE)</f>
        <v>4</v>
      </c>
      <c r="AB111" s="23"/>
      <c r="AC111" s="37"/>
      <c r="AD111" s="26" t="str">
        <f>IF(J111&lt;&gt;"Yes",
IF(S111&lt;=0,"Error: Effort value is not defined or is invalid.",
IF(AND(SUM(U111:W111)&gt;0,SUM(U111:W111)&lt;&gt;1),"Error: Complexity % distribution should sum to 100%.",
IF(AND(P111=AS_DEV_EFFORT,X111&lt;&gt;0),"Error: PDs should not be defined when defining as dev effort %.",
IF(AND(P111=AS_DURATION_EFFORT,X111&lt;&gt;0),"Error: PDs should not be defined when defining as duration effort %.","")))))</f>
        <v/>
      </c>
    </row>
    <row r="112" spans="1:30" ht="43.2" hidden="1" outlineLevel="2" x14ac:dyDescent="0.3">
      <c r="A112" s="93" t="s">
        <v>0</v>
      </c>
      <c r="B112" s="21"/>
      <c r="C112" s="85"/>
      <c r="D112" s="85"/>
      <c r="E112" s="85"/>
      <c r="F112" s="86"/>
      <c r="G112" s="22" t="s">
        <v>23</v>
      </c>
      <c r="H112" s="22" t="s">
        <v>23</v>
      </c>
      <c r="I112" s="23" t="s">
        <v>23</v>
      </c>
      <c r="J112" s="22" t="s">
        <v>23</v>
      </c>
      <c r="K112" s="38"/>
      <c r="L112" s="22"/>
      <c r="M112" s="288">
        <f ca="1">IFERROR(OFFSET(M112,-1,,1,1)+0.1,OFFSET(M112,-1,-1,1,1)&amp;".1")</f>
        <v>2.2000000000000002</v>
      </c>
      <c r="N112" s="23" t="s">
        <v>508</v>
      </c>
      <c r="O112" s="23"/>
      <c r="P112" s="23" t="s">
        <v>491</v>
      </c>
      <c r="Q112" s="144"/>
      <c r="R112" s="137"/>
      <c r="S112" s="169">
        <f>CEILING((IF(J112="Yes", 0, IF(H112="-",AA112,AA112+AA112*VLOOKUP(H112,BUFFERS_BY_TYPE,2,FALSE)))) +
   (IF(J112="Yes", 0, IF(H112="-",AA112,AA112+AA112*VLOOKUP(H112,BUFFERS_BY_TYPE,2,FALSE))))*VLOOKUP($S$5, SALES_CALL_SCALE_ARRAY, 2,FALSE),0.25)</f>
        <v>4</v>
      </c>
      <c r="T112" s="170"/>
      <c r="U112" s="24">
        <v>0</v>
      </c>
      <c r="V112" s="24">
        <v>1</v>
      </c>
      <c r="W112" s="24">
        <v>0</v>
      </c>
      <c r="X112" s="168">
        <v>4</v>
      </c>
      <c r="Y112" s="169">
        <f>CEILING((IF(P112=AS_DEV_EFFORT, DEV_EFFORT*Q112%,
                           IF(P112=AS_DURATION_EFFORT, (MANUAL_DURATION*5)*Q112%,
                                    (IF(Q112&lt;=1,X112,
                                          IF(SUM(U112:W112)=0,(Q112*X112),
                                               (((Q112*U112)*(X112+(X112*EXTRA_FOR_H)))+
                                               ((Q112*V112)*X112)+
                                               ((Q112*W112)*(X112-(X112*LESS_FOR_L)))
                                    )*IF(R112=0,1,R112))))))+Z112), 0.25)</f>
        <v>4</v>
      </c>
      <c r="Z112" s="25"/>
      <c r="AA112" s="169">
        <f>Y112+Y112*VLOOKUP(I112,EXTRAS_ARRAY,2,FALSE)</f>
        <v>4</v>
      </c>
      <c r="AB112" s="23"/>
      <c r="AC112" s="37"/>
      <c r="AD112" s="26" t="str">
        <f>IF(J112&lt;&gt;"Yes",
IF(S112&lt;=0,"Error: Effort value is not defined or is invalid.",
IF(AND(SUM(U112:W112)&gt;0,SUM(U112:W112)&lt;&gt;1),"Error: Complexity % distribution should sum to 100%.",
IF(AND(P112=AS_DEV_EFFORT,X112&lt;&gt;0),"Error: PDs should not be defined when defining as dev effort %.",
IF(AND(P112=AS_DURATION_EFFORT,X112&lt;&gt;0),"Error: PDs should not be defined when defining as duration effort %.","")))))</f>
        <v/>
      </c>
    </row>
    <row r="113" spans="1:30" ht="43.2" hidden="1" outlineLevel="2" x14ac:dyDescent="0.3">
      <c r="A113" s="93" t="s">
        <v>0</v>
      </c>
      <c r="B113" s="21"/>
      <c r="C113" s="85"/>
      <c r="D113" s="85"/>
      <c r="E113" s="85"/>
      <c r="F113" s="86"/>
      <c r="G113" s="22" t="s">
        <v>23</v>
      </c>
      <c r="H113" s="22" t="s">
        <v>23</v>
      </c>
      <c r="I113" s="23" t="s">
        <v>23</v>
      </c>
      <c r="J113" s="22" t="s">
        <v>23</v>
      </c>
      <c r="K113" s="38"/>
      <c r="L113" s="22"/>
      <c r="M113" s="288">
        <f ca="1">IFERROR(OFFSET(M113,-1,,1,1)+0.1,OFFSET(M113,-1,-1,1,1)&amp;".1")</f>
        <v>2.3000000000000003</v>
      </c>
      <c r="N113" s="23" t="s">
        <v>509</v>
      </c>
      <c r="O113" s="23"/>
      <c r="P113" s="23" t="s">
        <v>491</v>
      </c>
      <c r="Q113" s="144"/>
      <c r="R113" s="137"/>
      <c r="S113" s="169">
        <f>CEILING((IF(J113="Yes", 0, IF(H113="-",AA113,AA113+AA113*VLOOKUP(H113,BUFFERS_BY_TYPE,2,FALSE)))) +
   (IF(J113="Yes", 0, IF(H113="-",AA113,AA113+AA113*VLOOKUP(H113,BUFFERS_BY_TYPE,2,FALSE))))*VLOOKUP($S$5, SALES_CALL_SCALE_ARRAY, 2,FALSE),0.25)</f>
        <v>1</v>
      </c>
      <c r="T113" s="170"/>
      <c r="U113" s="24">
        <v>0</v>
      </c>
      <c r="V113" s="24">
        <v>1</v>
      </c>
      <c r="W113" s="24">
        <v>0</v>
      </c>
      <c r="X113" s="168">
        <v>1</v>
      </c>
      <c r="Y113" s="169">
        <f>CEILING((IF(P113=AS_DEV_EFFORT, DEV_EFFORT*Q113%,
                           IF(P113=AS_DURATION_EFFORT, (MANUAL_DURATION*5)*Q113%,
                                    (IF(Q113&lt;=1,X113,
                                          IF(SUM(U113:W113)=0,(Q113*X113),
                                               (((Q113*U113)*(X113+(X113*EXTRA_FOR_H)))+
                                               ((Q113*V113)*X113)+
                                               ((Q113*W113)*(X113-(X113*LESS_FOR_L)))
                                    )*IF(R113=0,1,R113))))))+Z113), 0.25)</f>
        <v>1</v>
      </c>
      <c r="Z113" s="25"/>
      <c r="AA113" s="169">
        <f>Y113+Y113*VLOOKUP(I113,EXTRAS_ARRAY,2,FALSE)</f>
        <v>1</v>
      </c>
      <c r="AB113" s="23"/>
      <c r="AC113" s="37"/>
      <c r="AD113" s="26" t="str">
        <f>IF(J113&lt;&gt;"Yes",
IF(S113&lt;=0,"Error: Effort value is not defined or is invalid.",
IF(AND(SUM(U113:W113)&gt;0,SUM(U113:W113)&lt;&gt;1),"Error: Complexity % distribution should sum to 100%.",
IF(AND(P113=AS_DEV_EFFORT,X113&lt;&gt;0),"Error: PDs should not be defined when defining as dev effort %.",
IF(AND(P113=AS_DURATION_EFFORT,X113&lt;&gt;0),"Error: PDs should not be defined when defining as duration effort %.","")))))</f>
        <v/>
      </c>
    </row>
    <row r="114" spans="1:30" ht="43.2" hidden="1" outlineLevel="2" x14ac:dyDescent="0.3">
      <c r="A114" s="93" t="s">
        <v>0</v>
      </c>
      <c r="B114" s="21"/>
      <c r="C114" s="85"/>
      <c r="D114" s="85"/>
      <c r="E114" s="85"/>
      <c r="F114" s="86"/>
      <c r="G114" s="22" t="s">
        <v>23</v>
      </c>
      <c r="H114" s="22" t="s">
        <v>23</v>
      </c>
      <c r="I114" s="23" t="s">
        <v>23</v>
      </c>
      <c r="J114" s="22" t="s">
        <v>23</v>
      </c>
      <c r="K114" s="38"/>
      <c r="L114" s="22"/>
      <c r="M114" s="288">
        <f ca="1">IFERROR(OFFSET(M114,-1,,1,1)+0.1,OFFSET(M114,-1,-1,1,1)&amp;".1")</f>
        <v>2.4000000000000004</v>
      </c>
      <c r="N114" s="23" t="s">
        <v>510</v>
      </c>
      <c r="O114" s="23"/>
      <c r="P114" s="23"/>
      <c r="Q114" s="144"/>
      <c r="R114" s="137"/>
      <c r="S114" s="169">
        <f>CEILING((IF(J114="Yes", 0, IF(H114="-",AA114,AA114+AA114*VLOOKUP(H114,BUFFERS_BY_TYPE,2,FALSE)))) +
   (IF(J114="Yes", 0, IF(H114="-",AA114,AA114+AA114*VLOOKUP(H114,BUFFERS_BY_TYPE,2,FALSE))))*VLOOKUP($S$5, SALES_CALL_SCALE_ARRAY, 2,FALSE),0.25)</f>
        <v>1</v>
      </c>
      <c r="T114" s="170"/>
      <c r="U114" s="24">
        <v>0</v>
      </c>
      <c r="V114" s="24">
        <v>1</v>
      </c>
      <c r="W114" s="24">
        <v>0</v>
      </c>
      <c r="X114" s="168">
        <v>1</v>
      </c>
      <c r="Y114" s="169">
        <f>CEILING((IF(P114=AS_DEV_EFFORT, DEV_EFFORT*Q114%,
                           IF(P114=AS_DURATION_EFFORT, (MANUAL_DURATION*5)*Q114%,
                                    (IF(Q114&lt;=1,X114,
                                          IF(SUM(U114:W114)=0,(Q114*X114),
                                               (((Q114*U114)*(X114+(X114*EXTRA_FOR_H)))+
                                               ((Q114*V114)*X114)+
                                               ((Q114*W114)*(X114-(X114*LESS_FOR_L)))
                                    )*IF(R114=0,1,R114))))))+Z114), 0.25)</f>
        <v>1</v>
      </c>
      <c r="Z114" s="25"/>
      <c r="AA114" s="169">
        <f>Y114+Y114*VLOOKUP(I114,EXTRAS_ARRAY,2,FALSE)</f>
        <v>1</v>
      </c>
      <c r="AB114" s="23"/>
      <c r="AC114" s="37"/>
      <c r="AD114" s="26" t="str">
        <f>IF(J114&lt;&gt;"Yes",
IF(S114&lt;=0,"Error: Effort value is not defined or is invalid.",
IF(AND(SUM(U114:W114)&gt;0,SUM(U114:W114)&lt;&gt;1),"Error: Complexity % distribution should sum to 100%.",
IF(AND(P114=AS_DEV_EFFORT,X114&lt;&gt;0),"Error: PDs should not be defined when defining as dev effort %.",
IF(AND(P114=AS_DURATION_EFFORT,X114&lt;&gt;0),"Error: PDs should not be defined when defining as duration effort %.","")))))</f>
        <v/>
      </c>
    </row>
    <row r="115" spans="1:30" s="11" customFormat="1" ht="7.5" hidden="1" customHeight="1" outlineLevel="2" x14ac:dyDescent="0.3">
      <c r="A115" s="93" t="s">
        <v>132</v>
      </c>
      <c r="B115" s="18"/>
      <c r="C115" s="78"/>
      <c r="D115" s="78"/>
      <c r="E115" s="78"/>
      <c r="F115" s="78"/>
      <c r="G115" s="10"/>
      <c r="H115" s="10"/>
      <c r="I115" s="10"/>
      <c r="J115" s="10"/>
      <c r="K115" s="10"/>
      <c r="L115" s="10"/>
      <c r="M115" s="289"/>
      <c r="N115" s="10"/>
      <c r="O115" s="10"/>
      <c r="P115" s="10"/>
      <c r="Q115" s="10"/>
      <c r="R115" s="10"/>
      <c r="S115" s="10"/>
      <c r="T115" s="18"/>
      <c r="U115" s="10"/>
      <c r="V115" s="10"/>
      <c r="W115" s="10"/>
      <c r="X115" s="18"/>
      <c r="Y115" s="10"/>
      <c r="Z115" s="10"/>
      <c r="AA115" s="10"/>
      <c r="AB115" s="60"/>
      <c r="AC115" s="60"/>
      <c r="AD115" s="12"/>
    </row>
    <row r="116" spans="1:30" s="17" customFormat="1" ht="15.6" hidden="1" outlineLevel="1" x14ac:dyDescent="0.3">
      <c r="A116" s="93" t="s">
        <v>100</v>
      </c>
      <c r="B116" s="21"/>
      <c r="C116" s="84"/>
      <c r="D116" s="84"/>
      <c r="E116" s="84"/>
      <c r="F116" s="83"/>
      <c r="G116" s="32"/>
      <c r="H116" s="32"/>
      <c r="I116" s="32"/>
      <c r="J116" s="32"/>
      <c r="K116" s="32"/>
      <c r="L116" s="20">
        <f ca="1">LOOKUP(1000,INDIRECT("L1:"&amp;CELL("address",INDIRECT("R[-1]C",FALSE))))+1</f>
        <v>3</v>
      </c>
      <c r="M116" s="318" t="s">
        <v>512</v>
      </c>
      <c r="N116" s="318"/>
      <c r="O116" s="5"/>
      <c r="P116" s="33"/>
      <c r="Q116" s="33"/>
      <c r="R116" s="33"/>
      <c r="S116" s="33"/>
      <c r="T116" s="167">
        <f>IF($S$6="Exclude", SUMIFS(S117:S122, J117:J122, "&lt;&gt;Yes", G117:G122, "&lt;&gt;Yes"), SUMIFS(S117:S122, J117:J122, "&lt;&gt;Yes"))</f>
        <v>8</v>
      </c>
      <c r="U116" s="33"/>
      <c r="V116" s="33"/>
      <c r="W116" s="33"/>
      <c r="X116" s="34"/>
      <c r="Y116" s="35"/>
      <c r="Z116" s="35"/>
      <c r="AA116" s="35"/>
      <c r="AB116" s="242"/>
      <c r="AC116" s="36"/>
      <c r="AD116" s="26" t="str">
        <f>IF(M116="", "Error: Task name cannot be empty.", "")</f>
        <v/>
      </c>
    </row>
    <row r="117" spans="1:30" s="15" customFormat="1" ht="1.5" hidden="1" customHeight="1" outlineLevel="2" x14ac:dyDescent="0.3">
      <c r="A117" s="93" t="s">
        <v>101</v>
      </c>
      <c r="B117" s="21"/>
      <c r="C117" s="84"/>
      <c r="D117" s="84"/>
      <c r="E117" s="84"/>
      <c r="F117" s="83"/>
      <c r="G117" s="32"/>
      <c r="H117" s="32"/>
      <c r="I117" s="32"/>
      <c r="J117" s="32"/>
      <c r="K117" s="32"/>
      <c r="L117" s="175">
        <f ca="1">L116</f>
        <v>3</v>
      </c>
      <c r="M117" s="176" t="s">
        <v>105</v>
      </c>
      <c r="N117" s="173"/>
      <c r="O117" s="174"/>
      <c r="P117" s="33"/>
      <c r="Q117" s="33"/>
      <c r="R117" s="33"/>
      <c r="S117" s="33"/>
      <c r="T117" s="167"/>
      <c r="U117" s="33"/>
      <c r="V117" s="33"/>
      <c r="W117" s="33"/>
      <c r="X117" s="34"/>
      <c r="Y117" s="35"/>
      <c r="Z117" s="35"/>
      <c r="AA117" s="35"/>
      <c r="AB117" s="36"/>
      <c r="AC117" s="36"/>
      <c r="AD117" s="26"/>
    </row>
    <row r="118" spans="1:30" ht="43.2" hidden="1" outlineLevel="2" x14ac:dyDescent="0.3">
      <c r="A118" s="93" t="s">
        <v>0</v>
      </c>
      <c r="B118" s="21"/>
      <c r="C118" s="85"/>
      <c r="D118" s="85"/>
      <c r="E118" s="85"/>
      <c r="F118" s="86"/>
      <c r="G118" s="22" t="s">
        <v>23</v>
      </c>
      <c r="H118" s="22" t="s">
        <v>23</v>
      </c>
      <c r="I118" s="23" t="s">
        <v>23</v>
      </c>
      <c r="J118" s="22" t="s">
        <v>6</v>
      </c>
      <c r="K118" s="38"/>
      <c r="L118" s="22"/>
      <c r="M118" s="288" t="str">
        <f ca="1">IFERROR(OFFSET(M118,-1,,1,1)+0.1,OFFSET(M118,-1,-1,1,1)&amp;".1")</f>
        <v>3.1</v>
      </c>
      <c r="N118" s="23" t="s">
        <v>513</v>
      </c>
      <c r="O118" s="23"/>
      <c r="P118" s="23" t="s">
        <v>519</v>
      </c>
      <c r="Q118" s="144"/>
      <c r="R118" s="137"/>
      <c r="S118" s="169">
        <f>CEILING((IF(J118="Yes", 0, IF(H118="-",AA118,AA118+AA118*VLOOKUP(H118,BUFFERS_BY_TYPE,2,FALSE)))) +
   (IF(J118="Yes", 0, IF(H118="-",AA118,AA118+AA118*VLOOKUP(H118,BUFFERS_BY_TYPE,2,FALSE))))*VLOOKUP($S$5, SALES_CALL_SCALE_ARRAY, 2,FALSE),0.25)</f>
        <v>0</v>
      </c>
      <c r="T118" s="170"/>
      <c r="U118" s="24">
        <v>0</v>
      </c>
      <c r="V118" s="24">
        <v>1</v>
      </c>
      <c r="W118" s="24">
        <v>0</v>
      </c>
      <c r="X118" s="168">
        <v>0</v>
      </c>
      <c r="Y118" s="169">
        <f>CEILING((IF(P118=AS_DEV_EFFORT, DEV_EFFORT*Q118%,
                           IF(P118=AS_DURATION_EFFORT, (MANUAL_DURATION*5)*Q118%,
                                    (IF(Q118&lt;=1,X118,
                                          IF(SUM(U118:W118)=0,(Q118*X118),
                                               (((Q118*U118)*(X118+(X118*EXTRA_FOR_H)))+
                                               ((Q118*V118)*X118)+
                                               ((Q118*W118)*(X118-(X118*LESS_FOR_L)))
                                    )*IF(R118=0,1,R118))))))+Z118), 0.25)</f>
        <v>0</v>
      </c>
      <c r="Z118" s="25"/>
      <c r="AA118" s="169">
        <f>Y118+Y118*VLOOKUP(I118,EXTRAS_ARRAY,2,FALSE)</f>
        <v>0</v>
      </c>
      <c r="AB118" s="23"/>
      <c r="AC118" s="37"/>
      <c r="AD118" s="26" t="b">
        <f>IF(J118&lt;&gt;"Yes",
IF(S118&lt;=0,"Error: Effort value is not defined or is invalid.",
IF(AND(SUM(U118:W118)&gt;0,SUM(U118:W118)&lt;&gt;1),"Error: Complexity % distribution should sum to 100%.",
IF(AND(P118=AS_DEV_EFFORT,X118&lt;&gt;0),"Error: PDs should not be defined when defining as dev effort %.",
IF(AND(P118=AS_DURATION_EFFORT,X118&lt;&gt;0),"Error: PDs should not be defined when defining as duration effort %.","")))))</f>
        <v>0</v>
      </c>
    </row>
    <row r="119" spans="1:30" ht="43.2" hidden="1" outlineLevel="2" x14ac:dyDescent="0.3">
      <c r="A119" s="93" t="s">
        <v>0</v>
      </c>
      <c r="B119" s="21"/>
      <c r="C119" s="85"/>
      <c r="D119" s="85"/>
      <c r="E119" s="85"/>
      <c r="F119" s="86"/>
      <c r="G119" s="22" t="s">
        <v>23</v>
      </c>
      <c r="H119" s="22" t="s">
        <v>23</v>
      </c>
      <c r="I119" s="23" t="s">
        <v>23</v>
      </c>
      <c r="J119" s="22" t="s">
        <v>23</v>
      </c>
      <c r="K119" s="38"/>
      <c r="L119" s="22"/>
      <c r="M119" s="288">
        <f ca="1">IFERROR(OFFSET(M119,-1,,1,1)+0.1,OFFSET(M119,-1,-1,1,1)&amp;".1")</f>
        <v>3.2</v>
      </c>
      <c r="N119" s="23" t="s">
        <v>514</v>
      </c>
      <c r="O119" s="23"/>
      <c r="P119" s="23"/>
      <c r="Q119" s="144"/>
      <c r="R119" s="137"/>
      <c r="S119" s="169">
        <f>CEILING((IF(J119="Yes", 0, IF(H119="-",AA119,AA119+AA119*VLOOKUP(H119,BUFFERS_BY_TYPE,2,FALSE)))) +
   (IF(J119="Yes", 0, IF(H119="-",AA119,AA119+AA119*VLOOKUP(H119,BUFFERS_BY_TYPE,2,FALSE))))*VLOOKUP($S$5, SALES_CALL_SCALE_ARRAY, 2,FALSE),0.25)</f>
        <v>3</v>
      </c>
      <c r="T119" s="170"/>
      <c r="U119" s="24">
        <v>0</v>
      </c>
      <c r="V119" s="24">
        <v>1</v>
      </c>
      <c r="W119" s="24">
        <v>0</v>
      </c>
      <c r="X119" s="168">
        <v>3</v>
      </c>
      <c r="Y119" s="169">
        <f>CEILING((IF(P119=AS_DEV_EFFORT, DEV_EFFORT*Q119%,
                           IF(P119=AS_DURATION_EFFORT, (MANUAL_DURATION*5)*Q119%,
                                    (IF(Q119&lt;=1,X119,
                                          IF(SUM(U119:W119)=0,(Q119*X119),
                                               (((Q119*U119)*(X119+(X119*EXTRA_FOR_H)))+
                                               ((Q119*V119)*X119)+
                                               ((Q119*W119)*(X119-(X119*LESS_FOR_L)))
                                    )*IF(R119=0,1,R119))))))+Z119), 0.25)</f>
        <v>3</v>
      </c>
      <c r="Z119" s="25"/>
      <c r="AA119" s="169">
        <f>Y119+Y119*VLOOKUP(I119,EXTRAS_ARRAY,2,FALSE)</f>
        <v>3</v>
      </c>
      <c r="AB119" s="23"/>
      <c r="AC119" s="37"/>
      <c r="AD119" s="26" t="str">
        <f>IF(J119&lt;&gt;"Yes",
IF(S119&lt;=0,"Error: Effort value is not defined or is invalid.",
IF(AND(SUM(U119:W119)&gt;0,SUM(U119:W119)&lt;&gt;1),"Error: Complexity % distribution should sum to 100%.",
IF(AND(P119=AS_DEV_EFFORT,X119&lt;&gt;0),"Error: PDs should not be defined when defining as dev effort %.",
IF(AND(P119=AS_DURATION_EFFORT,X119&lt;&gt;0),"Error: PDs should not be defined when defining as duration effort %.","")))))</f>
        <v/>
      </c>
    </row>
    <row r="120" spans="1:30" ht="43.2" hidden="1" outlineLevel="2" x14ac:dyDescent="0.3">
      <c r="A120" s="93" t="s">
        <v>0</v>
      </c>
      <c r="B120" s="21"/>
      <c r="C120" s="85"/>
      <c r="D120" s="85"/>
      <c r="E120" s="85"/>
      <c r="F120" s="86"/>
      <c r="G120" s="22" t="s">
        <v>23</v>
      </c>
      <c r="H120" s="22" t="s">
        <v>23</v>
      </c>
      <c r="I120" s="23" t="s">
        <v>23</v>
      </c>
      <c r="J120" s="22" t="s">
        <v>23</v>
      </c>
      <c r="K120" s="38"/>
      <c r="L120" s="22"/>
      <c r="M120" s="288">
        <f ca="1">IFERROR(OFFSET(M120,-1,,1,1)+0.1,OFFSET(M120,-1,-1,1,1)&amp;".1")</f>
        <v>3.3000000000000003</v>
      </c>
      <c r="N120" s="23" t="s">
        <v>515</v>
      </c>
      <c r="O120" s="23"/>
      <c r="P120" s="23" t="s">
        <v>518</v>
      </c>
      <c r="Q120" s="144"/>
      <c r="R120" s="137"/>
      <c r="S120" s="169">
        <f>CEILING((IF(J120="Yes", 0, IF(H120="-",AA120,AA120+AA120*VLOOKUP(H120,BUFFERS_BY_TYPE,2,FALSE)))) +
   (IF(J120="Yes", 0, IF(H120="-",AA120,AA120+AA120*VLOOKUP(H120,BUFFERS_BY_TYPE,2,FALSE))))*VLOOKUP($S$5, SALES_CALL_SCALE_ARRAY, 2,FALSE),0.25)</f>
        <v>3</v>
      </c>
      <c r="T120" s="170"/>
      <c r="U120" s="24">
        <v>0</v>
      </c>
      <c r="V120" s="24">
        <v>1</v>
      </c>
      <c r="W120" s="24">
        <v>0</v>
      </c>
      <c r="X120" s="168">
        <v>3</v>
      </c>
      <c r="Y120" s="169">
        <f>CEILING((IF(P120=AS_DEV_EFFORT, DEV_EFFORT*Q120%,
                           IF(P120=AS_DURATION_EFFORT, (MANUAL_DURATION*5)*Q120%,
                                    (IF(Q120&lt;=1,X120,
                                          IF(SUM(U120:W120)=0,(Q120*X120),
                                               (((Q120*U120)*(X120+(X120*EXTRA_FOR_H)))+
                                               ((Q120*V120)*X120)+
                                               ((Q120*W120)*(X120-(X120*LESS_FOR_L)))
                                    )*IF(R120=0,1,R120))))))+Z120), 0.25)</f>
        <v>3</v>
      </c>
      <c r="Z120" s="25"/>
      <c r="AA120" s="169">
        <f>Y120+Y120*VLOOKUP(I120,EXTRAS_ARRAY,2,FALSE)</f>
        <v>3</v>
      </c>
      <c r="AB120" s="23"/>
      <c r="AC120" s="37"/>
      <c r="AD120" s="26" t="str">
        <f>IF(J120&lt;&gt;"Yes",
IF(S120&lt;=0,"Error: Effort value is not defined or is invalid.",
IF(AND(SUM(U120:W120)&gt;0,SUM(U120:W120)&lt;&gt;1),"Error: Complexity % distribution should sum to 100%.",
IF(AND(P120=AS_DEV_EFFORT,X120&lt;&gt;0),"Error: PDs should not be defined when defining as dev effort %.",
IF(AND(P120=AS_DURATION_EFFORT,X120&lt;&gt;0),"Error: PDs should not be defined when defining as duration effort %.","")))))</f>
        <v/>
      </c>
    </row>
    <row r="121" spans="1:30" ht="43.2" hidden="1" outlineLevel="2" x14ac:dyDescent="0.3">
      <c r="A121" s="93" t="s">
        <v>0</v>
      </c>
      <c r="B121" s="21"/>
      <c r="C121" s="85"/>
      <c r="D121" s="85"/>
      <c r="E121" s="85"/>
      <c r="F121" s="86"/>
      <c r="G121" s="22" t="s">
        <v>23</v>
      </c>
      <c r="H121" s="22" t="s">
        <v>23</v>
      </c>
      <c r="I121" s="23" t="s">
        <v>23</v>
      </c>
      <c r="J121" s="22" t="s">
        <v>23</v>
      </c>
      <c r="K121" s="38"/>
      <c r="L121" s="22"/>
      <c r="M121" s="288">
        <f ca="1">IFERROR(OFFSET(M121,-1,,1,1)+0.1,OFFSET(M121,-1,-1,1,1)&amp;".1")</f>
        <v>3.4000000000000004</v>
      </c>
      <c r="N121" s="23" t="s">
        <v>516</v>
      </c>
      <c r="O121" s="23"/>
      <c r="P121" s="23" t="s">
        <v>517</v>
      </c>
      <c r="Q121" s="144"/>
      <c r="R121" s="137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>2</v>
      </c>
      <c r="T121" s="170"/>
      <c r="U121" s="24">
        <v>0</v>
      </c>
      <c r="V121" s="24">
        <v>1</v>
      </c>
      <c r="W121" s="24">
        <v>0</v>
      </c>
      <c r="X121" s="168">
        <v>2</v>
      </c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2</v>
      </c>
      <c r="Z121" s="25"/>
      <c r="AA121" s="169">
        <f>Y121+Y121*VLOOKUP(I121,EXTRAS_ARRAY,2,FALSE)</f>
        <v>2</v>
      </c>
      <c r="AB121" s="23"/>
      <c r="AC121" s="37"/>
      <c r="AD121" s="26" t="str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spans="1:30" s="11" customFormat="1" ht="7.5" hidden="1" customHeight="1" outlineLevel="2" x14ac:dyDescent="0.3">
      <c r="A122" s="93" t="s">
        <v>132</v>
      </c>
      <c r="B122" s="18"/>
      <c r="C122" s="78"/>
      <c r="D122" s="78"/>
      <c r="E122" s="78"/>
      <c r="F122" s="78"/>
      <c r="G122" s="10"/>
      <c r="H122" s="10"/>
      <c r="I122" s="10"/>
      <c r="J122" s="10"/>
      <c r="K122" s="10"/>
      <c r="L122" s="10"/>
      <c r="M122" s="289"/>
      <c r="N122" s="10"/>
      <c r="O122" s="10"/>
      <c r="P122" s="10"/>
      <c r="Q122" s="10"/>
      <c r="R122" s="10"/>
      <c r="S122" s="10"/>
      <c r="T122" s="18"/>
      <c r="U122" s="10"/>
      <c r="V122" s="10"/>
      <c r="W122" s="10"/>
      <c r="X122" s="18"/>
      <c r="Y122" s="10"/>
      <c r="Z122" s="10"/>
      <c r="AA122" s="10"/>
      <c r="AB122" s="60"/>
      <c r="AC122" s="60"/>
      <c r="AD122" s="12"/>
    </row>
    <row r="123" spans="1:30" s="17" customFormat="1" ht="15.6" hidden="1" outlineLevel="1" x14ac:dyDescent="0.3">
      <c r="A123" s="93" t="s">
        <v>100</v>
      </c>
      <c r="B123" s="21"/>
      <c r="C123" s="84"/>
      <c r="D123" s="84"/>
      <c r="E123" s="84"/>
      <c r="F123" s="83"/>
      <c r="G123" s="32"/>
      <c r="H123" s="32"/>
      <c r="I123" s="32"/>
      <c r="J123" s="32"/>
      <c r="K123" s="32"/>
      <c r="L123" s="20">
        <f ca="1">LOOKUP(1000,INDIRECT("L1:"&amp;CELL("address",INDIRECT("R[-1]C",FALSE))))+1</f>
        <v>4</v>
      </c>
      <c r="M123" s="318" t="s">
        <v>520</v>
      </c>
      <c r="N123" s="318"/>
      <c r="O123" s="5"/>
      <c r="P123" s="33"/>
      <c r="Q123" s="33"/>
      <c r="R123" s="33"/>
      <c r="S123" s="33"/>
      <c r="T123" s="167">
        <f>IF($S$6="Exclude", SUMIFS(S124:S127, J124:J127, "&lt;&gt;Yes", G124:G127, "&lt;&gt;Yes"), SUMIFS(S124:S127, J124:J127, "&lt;&gt;Yes"))</f>
        <v>9.75</v>
      </c>
      <c r="U123" s="33"/>
      <c r="V123" s="33"/>
      <c r="W123" s="33"/>
      <c r="X123" s="34"/>
      <c r="Y123" s="35"/>
      <c r="Z123" s="35"/>
      <c r="AA123" s="35"/>
      <c r="AB123" s="242"/>
      <c r="AC123" s="36"/>
      <c r="AD123" s="26" t="str">
        <f>IF(M123="", "Error: Task name cannot be empty.", "")</f>
        <v/>
      </c>
    </row>
    <row r="124" spans="1:30" s="15" customFormat="1" ht="1.5" hidden="1" customHeight="1" outlineLevel="2" x14ac:dyDescent="0.3">
      <c r="A124" s="93" t="s">
        <v>101</v>
      </c>
      <c r="B124" s="21"/>
      <c r="C124" s="84"/>
      <c r="D124" s="84"/>
      <c r="E124" s="84"/>
      <c r="F124" s="83"/>
      <c r="G124" s="32"/>
      <c r="H124" s="32"/>
      <c r="I124" s="32"/>
      <c r="J124" s="32"/>
      <c r="K124" s="32"/>
      <c r="L124" s="175">
        <f ca="1">L123</f>
        <v>4</v>
      </c>
      <c r="M124" s="176" t="s">
        <v>105</v>
      </c>
      <c r="N124" s="173"/>
      <c r="O124" s="174"/>
      <c r="P124" s="33"/>
      <c r="Q124" s="33"/>
      <c r="R124" s="33"/>
      <c r="S124" s="33"/>
      <c r="T124" s="167"/>
      <c r="U124" s="33"/>
      <c r="V124" s="33"/>
      <c r="W124" s="33"/>
      <c r="X124" s="34"/>
      <c r="Y124" s="35"/>
      <c r="Z124" s="35"/>
      <c r="AA124" s="35"/>
      <c r="AB124" s="36"/>
      <c r="AC124" s="36"/>
      <c r="AD124" s="26"/>
    </row>
    <row r="125" spans="1:30" ht="43.2" hidden="1" outlineLevel="2" x14ac:dyDescent="0.3">
      <c r="A125" s="93" t="s">
        <v>0</v>
      </c>
      <c r="B125" s="21"/>
      <c r="C125" s="85"/>
      <c r="D125" s="85"/>
      <c r="E125" s="85"/>
      <c r="F125" s="86"/>
      <c r="G125" s="22" t="s">
        <v>23</v>
      </c>
      <c r="H125" s="22" t="s">
        <v>23</v>
      </c>
      <c r="I125" s="23" t="s">
        <v>23</v>
      </c>
      <c r="J125" s="22" t="s">
        <v>23</v>
      </c>
      <c r="K125" s="38"/>
      <c r="L125" s="22"/>
      <c r="M125" s="288" t="str">
        <f ca="1">IFERROR(OFFSET(M125,-1,,1,1)+0.1,OFFSET(M125,-1,-1,1,1)&amp;".1")</f>
        <v>4.1</v>
      </c>
      <c r="N125" s="23" t="s">
        <v>521</v>
      </c>
      <c r="O125" s="23"/>
      <c r="P125" s="23"/>
      <c r="Q125" s="144"/>
      <c r="R125" s="137"/>
      <c r="S125" s="169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70"/>
      <c r="U125" s="24">
        <v>0</v>
      </c>
      <c r="V125" s="24">
        <v>1</v>
      </c>
      <c r="W125" s="24">
        <v>0</v>
      </c>
      <c r="X125" s="168">
        <v>3</v>
      </c>
      <c r="Y125" s="169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5"/>
      <c r="AA125" s="169">
        <f>Y125+Y125*VLOOKUP(I125,EXTRAS_ARRAY,2,FALSE)</f>
        <v>3</v>
      </c>
      <c r="AB125" s="23"/>
      <c r="AC125" s="37"/>
      <c r="AD125" s="26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43.2" hidden="1" outlineLevel="2" x14ac:dyDescent="0.3">
      <c r="A126" s="93" t="s">
        <v>0</v>
      </c>
      <c r="B126" s="21"/>
      <c r="C126" s="85"/>
      <c r="D126" s="85"/>
      <c r="E126" s="85"/>
      <c r="F126" s="86"/>
      <c r="G126" s="22" t="s">
        <v>23</v>
      </c>
      <c r="H126" s="22" t="s">
        <v>23</v>
      </c>
      <c r="I126" s="23" t="s">
        <v>23</v>
      </c>
      <c r="J126" s="22" t="s">
        <v>23</v>
      </c>
      <c r="K126" s="38"/>
      <c r="L126" s="22"/>
      <c r="M126" s="288">
        <f ca="1">IFERROR(OFFSET(M126,-1,,1,1)+0.1,OFFSET(M126,-1,-1,1,1)&amp;".1")</f>
        <v>4.1999999999999993</v>
      </c>
      <c r="N126" s="23" t="s">
        <v>522</v>
      </c>
      <c r="O126" s="23"/>
      <c r="P126" s="23" t="s">
        <v>78</v>
      </c>
      <c r="Q126" s="144">
        <v>20</v>
      </c>
      <c r="R126" s="137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>6.75</v>
      </c>
      <c r="T126" s="170"/>
      <c r="U126" s="24">
        <v>0</v>
      </c>
      <c r="V126" s="24">
        <v>1</v>
      </c>
      <c r="W126" s="24">
        <v>0</v>
      </c>
      <c r="X126" s="168"/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6.75</v>
      </c>
      <c r="Z126" s="25"/>
      <c r="AA126" s="169">
        <f>Y126+Y126*VLOOKUP(I126,EXTRAS_ARRAY,2,FALSE)</f>
        <v>6.75</v>
      </c>
      <c r="AB126" s="23"/>
      <c r="AC126" s="37"/>
      <c r="AD126" s="26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s="11" customFormat="1" ht="7.5" hidden="1" customHeight="1" outlineLevel="2" x14ac:dyDescent="0.3">
      <c r="A127" s="93" t="s">
        <v>132</v>
      </c>
      <c r="B127" s="18"/>
      <c r="C127" s="78"/>
      <c r="D127" s="78"/>
      <c r="E127" s="78"/>
      <c r="F127" s="78"/>
      <c r="G127" s="10"/>
      <c r="H127" s="10"/>
      <c r="I127" s="10"/>
      <c r="J127" s="10"/>
      <c r="K127" s="10"/>
      <c r="L127" s="10"/>
      <c r="M127" s="289"/>
      <c r="N127" s="10"/>
      <c r="O127" s="10"/>
      <c r="P127" s="10"/>
      <c r="Q127" s="10"/>
      <c r="R127" s="10"/>
      <c r="S127" s="10"/>
      <c r="T127" s="18"/>
      <c r="U127" s="10"/>
      <c r="V127" s="10"/>
      <c r="W127" s="10"/>
      <c r="X127" s="18"/>
      <c r="Y127" s="10"/>
      <c r="Z127" s="10"/>
      <c r="AA127" s="10"/>
      <c r="AB127" s="60"/>
      <c r="AC127" s="60"/>
      <c r="AD127" s="12"/>
    </row>
    <row r="128" spans="1:30" s="11" customFormat="1" ht="3" hidden="1" customHeight="1" outlineLevel="1" x14ac:dyDescent="0.3">
      <c r="A128" s="93" t="s">
        <v>102</v>
      </c>
      <c r="B128" s="10"/>
      <c r="C128" s="78"/>
      <c r="D128" s="78"/>
      <c r="E128" s="78"/>
      <c r="F128" s="78"/>
      <c r="G128" s="59"/>
      <c r="H128" s="59"/>
      <c r="I128" s="59"/>
      <c r="J128" s="59"/>
      <c r="K128" s="59"/>
      <c r="L128" s="61"/>
      <c r="M128" s="290"/>
      <c r="N128" s="62"/>
      <c r="O128" s="62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2"/>
      <c r="AC128" s="62"/>
      <c r="AD128" s="12"/>
    </row>
    <row r="129" spans="1:30" s="17" customFormat="1" ht="18" collapsed="1" x14ac:dyDescent="0.3">
      <c r="A129" s="93" t="s">
        <v>98</v>
      </c>
      <c r="B129" s="14"/>
      <c r="C129" s="79"/>
      <c r="D129" s="79"/>
      <c r="E129" s="79"/>
      <c r="F129" s="78"/>
      <c r="G129" s="55"/>
      <c r="H129" s="55"/>
      <c r="I129" s="55"/>
      <c r="J129" s="55"/>
      <c r="K129" s="55"/>
      <c r="L129" s="55" t="s">
        <v>71</v>
      </c>
      <c r="M129" s="286" t="s">
        <v>75</v>
      </c>
      <c r="N129" s="56"/>
      <c r="O129" s="57"/>
      <c r="P129" s="58"/>
      <c r="Q129" s="58"/>
      <c r="R129" s="58"/>
      <c r="S129" s="319">
        <f>CEILING(SUMIF(J130:J151, "&lt;&gt;Yes", T130:T151),1)</f>
        <v>72</v>
      </c>
      <c r="T129" s="319"/>
      <c r="U129" s="58"/>
      <c r="V129" s="58"/>
      <c r="W129" s="58"/>
      <c r="X129" s="58"/>
      <c r="Y129" s="58"/>
      <c r="Z129" s="58"/>
      <c r="AA129" s="58"/>
      <c r="AB129" s="58"/>
      <c r="AC129" s="58"/>
      <c r="AD129" s="16"/>
    </row>
    <row r="130" spans="1:30" s="11" customFormat="1" ht="3" hidden="1" customHeight="1" outlineLevel="1" x14ac:dyDescent="0.3">
      <c r="A130" s="93" t="s">
        <v>99</v>
      </c>
      <c r="B130" s="18"/>
      <c r="C130" s="78"/>
      <c r="D130" s="78"/>
      <c r="E130" s="78"/>
      <c r="F130" s="78"/>
      <c r="G130" s="28"/>
      <c r="H130" s="28"/>
      <c r="I130" s="28"/>
      <c r="J130" s="28"/>
      <c r="K130" s="28"/>
      <c r="L130" s="29">
        <v>0</v>
      </c>
      <c r="M130" s="287"/>
      <c r="N130" s="28"/>
      <c r="O130" s="28"/>
      <c r="P130" s="28"/>
      <c r="Q130" s="28"/>
      <c r="R130" s="28"/>
      <c r="S130" s="28"/>
      <c r="T130" s="30"/>
      <c r="U130" s="28"/>
      <c r="V130" s="28"/>
      <c r="W130" s="28"/>
      <c r="X130" s="30"/>
      <c r="Y130" s="28"/>
      <c r="Z130" s="28"/>
      <c r="AA130" s="28"/>
      <c r="AB130" s="31"/>
      <c r="AC130" s="31"/>
      <c r="AD130" s="12"/>
    </row>
    <row r="131" spans="1:30" s="17" customFormat="1" ht="15.6" hidden="1" outlineLevel="1" x14ac:dyDescent="0.3">
      <c r="A131" s="93" t="s">
        <v>100</v>
      </c>
      <c r="B131" s="21"/>
      <c r="C131" s="84"/>
      <c r="D131" s="84"/>
      <c r="E131" s="84"/>
      <c r="F131" s="83"/>
      <c r="G131" s="32"/>
      <c r="H131" s="32"/>
      <c r="I131" s="32"/>
      <c r="J131" s="32"/>
      <c r="K131" s="32"/>
      <c r="L131" s="20">
        <f ca="1">LOOKUP(1000,INDIRECT("L1:"&amp;CELL("address",INDIRECT("R[-1]C",FALSE))))+1</f>
        <v>1</v>
      </c>
      <c r="M131" s="318" t="s">
        <v>523</v>
      </c>
      <c r="N131" s="318"/>
      <c r="O131" s="5"/>
      <c r="P131" s="33"/>
      <c r="Q131" s="33"/>
      <c r="R131" s="33"/>
      <c r="S131" s="33"/>
      <c r="T131" s="167">
        <f>IF($S$6="Exclude", SUMIFS(S132:S135, J132:J135, "&lt;&gt;Yes", G132:G135, "&lt;&gt;Yes"), SUMIFS(S132:S135, J132:J135, "&lt;&gt;Yes"))</f>
        <v>20</v>
      </c>
      <c r="U131" s="33"/>
      <c r="V131" s="33"/>
      <c r="W131" s="33"/>
      <c r="X131" s="34"/>
      <c r="Y131" s="35"/>
      <c r="Z131" s="35"/>
      <c r="AA131" s="35"/>
      <c r="AB131" s="242"/>
      <c r="AC131" s="36"/>
      <c r="AD131" s="26" t="str">
        <f>IF(M131="", "Error: Task name cannot be empty.", "")</f>
        <v/>
      </c>
    </row>
    <row r="132" spans="1:30" s="15" customFormat="1" ht="1.5" hidden="1" customHeight="1" outlineLevel="2" x14ac:dyDescent="0.3">
      <c r="A132" s="93" t="s">
        <v>101</v>
      </c>
      <c r="B132" s="21"/>
      <c r="C132" s="84"/>
      <c r="D132" s="84"/>
      <c r="E132" s="84"/>
      <c r="F132" s="83"/>
      <c r="G132" s="32"/>
      <c r="H132" s="32"/>
      <c r="I132" s="32"/>
      <c r="J132" s="32"/>
      <c r="K132" s="32"/>
      <c r="L132" s="175">
        <f ca="1">L131</f>
        <v>1</v>
      </c>
      <c r="M132" s="176" t="s">
        <v>105</v>
      </c>
      <c r="N132" s="173"/>
      <c r="O132" s="174"/>
      <c r="P132" s="33"/>
      <c r="Q132" s="33"/>
      <c r="R132" s="33"/>
      <c r="S132" s="33"/>
      <c r="T132" s="167"/>
      <c r="U132" s="33"/>
      <c r="V132" s="33"/>
      <c r="W132" s="33"/>
      <c r="X132" s="34"/>
      <c r="Y132" s="35"/>
      <c r="Z132" s="35"/>
      <c r="AA132" s="35"/>
      <c r="AB132" s="36"/>
      <c r="AC132" s="36"/>
      <c r="AD132" s="26"/>
    </row>
    <row r="133" spans="1:30" ht="43.2" hidden="1" outlineLevel="2" x14ac:dyDescent="0.3">
      <c r="A133" s="93" t="s">
        <v>0</v>
      </c>
      <c r="B133" s="21"/>
      <c r="C133" s="85"/>
      <c r="D133" s="85"/>
      <c r="E133" s="85"/>
      <c r="F133" s="86"/>
      <c r="G133" s="22" t="s">
        <v>23</v>
      </c>
      <c r="H133" s="22" t="s">
        <v>23</v>
      </c>
      <c r="I133" s="23" t="s">
        <v>23</v>
      </c>
      <c r="J133" s="22" t="s">
        <v>23</v>
      </c>
      <c r="K133" s="38"/>
      <c r="L133" s="22"/>
      <c r="M133" s="288" t="str">
        <f ca="1">IFERROR(OFFSET(M133,-1,,1,1)+0.1,OFFSET(M133,-1,-1,1,1)&amp;".1")</f>
        <v>1.1</v>
      </c>
      <c r="N133" s="23" t="s">
        <v>524</v>
      </c>
      <c r="O133" s="23"/>
      <c r="P133" s="23" t="s">
        <v>529</v>
      </c>
      <c r="Q133" s="144">
        <v>10</v>
      </c>
      <c r="R133" s="137"/>
      <c r="S133" s="169">
        <f>CEILING((IF(J133="Yes", 0, IF(H133="-",AA133,AA133+AA133*VLOOKUP(H133,BUFFERS_BY_TYPE,2,FALSE)))) +
   (IF(J133="Yes", 0, IF(H133="-",AA133,AA133+AA133*VLOOKUP(H133,BUFFERS_BY_TYPE,2,FALSE))))*VLOOKUP($S$5, SALES_CALL_SCALE_ARRAY, 2,FALSE),0.25)</f>
        <v>10</v>
      </c>
      <c r="T133" s="170"/>
      <c r="U133" s="24">
        <v>0</v>
      </c>
      <c r="V133" s="24">
        <v>1</v>
      </c>
      <c r="W133" s="24">
        <v>0</v>
      </c>
      <c r="X133" s="168">
        <v>1</v>
      </c>
      <c r="Y133" s="169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10</v>
      </c>
      <c r="Z133" s="25"/>
      <c r="AA133" s="169">
        <f>Y133+Y133*VLOOKUP(I133,EXTRAS_ARRAY,2,FALSE)</f>
        <v>10</v>
      </c>
      <c r="AB133" s="23"/>
      <c r="AC133" s="37"/>
      <c r="AD133" s="26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43.2" hidden="1" outlineLevel="2" x14ac:dyDescent="0.3">
      <c r="A134" s="93" t="s">
        <v>0</v>
      </c>
      <c r="B134" s="21"/>
      <c r="C134" s="85"/>
      <c r="D134" s="85"/>
      <c r="E134" s="85"/>
      <c r="F134" s="86"/>
      <c r="G134" s="22" t="s">
        <v>23</v>
      </c>
      <c r="H134" s="22" t="s">
        <v>23</v>
      </c>
      <c r="I134" s="23" t="s">
        <v>23</v>
      </c>
      <c r="J134" s="22" t="s">
        <v>23</v>
      </c>
      <c r="K134" s="38"/>
      <c r="L134" s="22"/>
      <c r="M134" s="288">
        <f ca="1">IFERROR(OFFSET(M134,-1,,1,1)+0.1,OFFSET(M134,-1,-1,1,1)&amp;".1")</f>
        <v>1.2000000000000002</v>
      </c>
      <c r="N134" s="23" t="s">
        <v>525</v>
      </c>
      <c r="O134" s="23"/>
      <c r="P134" s="23" t="s">
        <v>528</v>
      </c>
      <c r="Q134" s="144">
        <v>5</v>
      </c>
      <c r="R134" s="137"/>
      <c r="S134" s="169">
        <f>CEILING((IF(J134="Yes", 0, IF(H134="-",AA134,AA134+AA134*VLOOKUP(H134,BUFFERS_BY_TYPE,2,FALSE)))) +
   (IF(J134="Yes", 0, IF(H134="-",AA134,AA134+AA134*VLOOKUP(H134,BUFFERS_BY_TYPE,2,FALSE))))*VLOOKUP($S$5, SALES_CALL_SCALE_ARRAY, 2,FALSE),0.25)</f>
        <v>10</v>
      </c>
      <c r="T134" s="170"/>
      <c r="U134" s="24">
        <v>0</v>
      </c>
      <c r="V134" s="24">
        <v>1</v>
      </c>
      <c r="W134" s="24">
        <v>0</v>
      </c>
      <c r="X134" s="168">
        <v>2</v>
      </c>
      <c r="Y134" s="169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10</v>
      </c>
      <c r="Z134" s="25"/>
      <c r="AA134" s="169">
        <f>Y134+Y134*VLOOKUP(I134,EXTRAS_ARRAY,2,FALSE)</f>
        <v>10</v>
      </c>
      <c r="AB134" s="23"/>
      <c r="AC134" s="37"/>
      <c r="AD134" s="26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s="11" customFormat="1" ht="7.5" hidden="1" customHeight="1" outlineLevel="2" x14ac:dyDescent="0.3">
      <c r="A135" s="93" t="s">
        <v>132</v>
      </c>
      <c r="B135" s="18"/>
      <c r="C135" s="78"/>
      <c r="D135" s="78"/>
      <c r="E135" s="78"/>
      <c r="F135" s="78"/>
      <c r="G135" s="10"/>
      <c r="H135" s="10"/>
      <c r="I135" s="10"/>
      <c r="J135" s="10"/>
      <c r="K135" s="10"/>
      <c r="L135" s="10"/>
      <c r="M135" s="289"/>
      <c r="N135" s="10"/>
      <c r="O135" s="10"/>
      <c r="P135" s="10"/>
      <c r="Q135" s="10"/>
      <c r="R135" s="10"/>
      <c r="S135" s="10"/>
      <c r="T135" s="18"/>
      <c r="U135" s="10"/>
      <c r="V135" s="10"/>
      <c r="W135" s="10"/>
      <c r="X135" s="18"/>
      <c r="Y135" s="10"/>
      <c r="Z135" s="10"/>
      <c r="AA135" s="10"/>
      <c r="AB135" s="60"/>
      <c r="AC135" s="60"/>
      <c r="AD135" s="12"/>
    </row>
    <row r="136" spans="1:30" s="17" customFormat="1" ht="15.6" hidden="1" outlineLevel="1" x14ac:dyDescent="0.3">
      <c r="A136" s="93" t="s">
        <v>100</v>
      </c>
      <c r="B136" s="21"/>
      <c r="C136" s="84"/>
      <c r="D136" s="84"/>
      <c r="E136" s="84"/>
      <c r="F136" s="83"/>
      <c r="G136" s="32"/>
      <c r="H136" s="32"/>
      <c r="I136" s="32"/>
      <c r="J136" s="32"/>
      <c r="K136" s="32"/>
      <c r="L136" s="20">
        <f ca="1">LOOKUP(1000,INDIRECT("L1:"&amp;CELL("address",INDIRECT("R[-1]C",FALSE))))+1</f>
        <v>2</v>
      </c>
      <c r="M136" s="318" t="s">
        <v>526</v>
      </c>
      <c r="N136" s="318"/>
      <c r="O136" s="5"/>
      <c r="P136" s="33"/>
      <c r="Q136" s="33"/>
      <c r="R136" s="33"/>
      <c r="S136" s="33"/>
      <c r="T136" s="167">
        <f>IF($S$6="Exclude", SUMIFS(S137:S139, J137:J139, "&lt;&gt;Yes", G137:G139, "&lt;&gt;Yes"), SUMIFS(S137:S139, J137:J139, "&lt;&gt;Yes"))</f>
        <v>40</v>
      </c>
      <c r="U136" s="33"/>
      <c r="V136" s="33"/>
      <c r="W136" s="33"/>
      <c r="X136" s="34"/>
      <c r="Y136" s="35"/>
      <c r="Z136" s="35"/>
      <c r="AA136" s="35"/>
      <c r="AB136" s="242"/>
      <c r="AC136" s="36"/>
      <c r="AD136" s="26" t="str">
        <f>IF(M136="", "Error: Task name cannot be empty.", "")</f>
        <v/>
      </c>
    </row>
    <row r="137" spans="1:30" s="15" customFormat="1" ht="1.5" hidden="1" customHeight="1" outlineLevel="2" x14ac:dyDescent="0.3">
      <c r="A137" s="93" t="s">
        <v>101</v>
      </c>
      <c r="B137" s="21"/>
      <c r="C137" s="84"/>
      <c r="D137" s="84"/>
      <c r="E137" s="84"/>
      <c r="F137" s="83"/>
      <c r="G137" s="32"/>
      <c r="H137" s="32"/>
      <c r="I137" s="32"/>
      <c r="J137" s="32"/>
      <c r="K137" s="32"/>
      <c r="L137" s="175">
        <f ca="1">L136</f>
        <v>2</v>
      </c>
      <c r="M137" s="176" t="s">
        <v>105</v>
      </c>
      <c r="N137" s="173"/>
      <c r="O137" s="174"/>
      <c r="P137" s="33"/>
      <c r="Q137" s="33"/>
      <c r="R137" s="33"/>
      <c r="S137" s="33"/>
      <c r="T137" s="167"/>
      <c r="U137" s="33"/>
      <c r="V137" s="33"/>
      <c r="W137" s="33"/>
      <c r="X137" s="34"/>
      <c r="Y137" s="35"/>
      <c r="Z137" s="35"/>
      <c r="AA137" s="35"/>
      <c r="AB137" s="36"/>
      <c r="AC137" s="36"/>
      <c r="AD137" s="26"/>
    </row>
    <row r="138" spans="1:30" ht="57.6" hidden="1" outlineLevel="2" x14ac:dyDescent="0.3">
      <c r="A138" s="93" t="s">
        <v>0</v>
      </c>
      <c r="B138" s="21"/>
      <c r="C138" s="85"/>
      <c r="D138" s="85"/>
      <c r="E138" s="85"/>
      <c r="F138" s="86"/>
      <c r="G138" s="22" t="s">
        <v>23</v>
      </c>
      <c r="H138" s="22" t="s">
        <v>23</v>
      </c>
      <c r="I138" s="23" t="s">
        <v>23</v>
      </c>
      <c r="J138" s="22" t="s">
        <v>23</v>
      </c>
      <c r="K138" s="38"/>
      <c r="L138" s="22"/>
      <c r="M138" s="288" t="str">
        <f ca="1">IFERROR(OFFSET(M138,-1,,1,1)+0.1,OFFSET(M138,-1,-1,1,1)&amp;".1")</f>
        <v>2.1</v>
      </c>
      <c r="N138" s="23" t="s">
        <v>527</v>
      </c>
      <c r="O138" s="23"/>
      <c r="P138" s="23" t="s">
        <v>543</v>
      </c>
      <c r="Q138" s="144">
        <v>2</v>
      </c>
      <c r="R138" s="137">
        <v>4</v>
      </c>
      <c r="S138" s="169">
        <f>CEILING((IF(J138="Yes", 0, IF(H138="-",AA138,AA138+AA138*VLOOKUP(H138,BUFFERS_BY_TYPE,2,FALSE)))) +
   (IF(J138="Yes", 0, IF(H138="-",AA138,AA138+AA138*VLOOKUP(H138,BUFFERS_BY_TYPE,2,FALSE))))*VLOOKUP($S$5, SALES_CALL_SCALE_ARRAY, 2,FALSE),0.25)</f>
        <v>40</v>
      </c>
      <c r="T138" s="170"/>
      <c r="U138" s="24">
        <v>0</v>
      </c>
      <c r="V138" s="24">
        <v>1</v>
      </c>
      <c r="W138" s="24">
        <v>0</v>
      </c>
      <c r="X138" s="168">
        <v>5</v>
      </c>
      <c r="Y138" s="169">
        <f>CEILING((IF(P138=AS_DEV_EFFORT, DEV_EFFORT*Q138%,
                           IF(P138=AS_DURATION_EFFORT, (MANUAL_DURATION*5)*Q138%,
                                    (IF(Q138&lt;=1,X138,
                                          IF(SUM(U138:W138)=0,(Q138*X138),
                                               (((Q138*U138)*(X138+(X138*EXTRA_FOR_H)))+
                                               ((Q138*V138)*X138)+
                                               ((Q138*W138)*(X138-(X138*LESS_FOR_L)))
                                    )*IF(R138=0,1,R138))))))+Z138), 0.25)</f>
        <v>40</v>
      </c>
      <c r="Z138" s="25"/>
      <c r="AA138" s="169">
        <f>Y138+Y138*VLOOKUP(I138,EXTRAS_ARRAY,2,FALSE)</f>
        <v>40</v>
      </c>
      <c r="AB138" s="23" t="s">
        <v>544</v>
      </c>
      <c r="AC138" s="37"/>
      <c r="AD138" s="26" t="str">
        <f>IF(J138&lt;&gt;"Yes",
IF(S138&lt;=0,"Error: Effort value is not defined or is invalid.",
IF(AND(SUM(U138:W138)&gt;0,SUM(U138:W138)&lt;&gt;1),"Error: Complexity % distribution should sum to 100%.",
IF(AND(P138=AS_DEV_EFFORT,X138&lt;&gt;0),"Error: PDs should not be defined when defining as dev effort %.",
IF(AND(P138=AS_DURATION_EFFORT,X138&lt;&gt;0),"Error: PDs should not be defined when defining as duration effort %.","")))))</f>
        <v/>
      </c>
    </row>
    <row r="139" spans="1:30" s="11" customFormat="1" ht="7.5" hidden="1" customHeight="1" outlineLevel="2" x14ac:dyDescent="0.3">
      <c r="A139" s="93" t="s">
        <v>132</v>
      </c>
      <c r="B139" s="18"/>
      <c r="C139" s="78"/>
      <c r="D139" s="78"/>
      <c r="E139" s="78"/>
      <c r="F139" s="78"/>
      <c r="G139" s="10"/>
      <c r="H139" s="10"/>
      <c r="I139" s="10"/>
      <c r="J139" s="10"/>
      <c r="K139" s="10"/>
      <c r="L139" s="10"/>
      <c r="M139" s="289"/>
      <c r="N139" s="10"/>
      <c r="O139" s="10"/>
      <c r="P139" s="10"/>
      <c r="Q139" s="10"/>
      <c r="R139" s="10"/>
      <c r="S139" s="10"/>
      <c r="T139" s="18"/>
      <c r="U139" s="10"/>
      <c r="V139" s="10"/>
      <c r="W139" s="10"/>
      <c r="X139" s="18"/>
      <c r="Y139" s="10"/>
      <c r="Z139" s="10"/>
      <c r="AA139" s="10"/>
      <c r="AB139" s="60"/>
      <c r="AC139" s="60"/>
      <c r="AD139" s="12"/>
    </row>
    <row r="140" spans="1:30" s="17" customFormat="1" ht="15.6" hidden="1" outlineLevel="1" x14ac:dyDescent="0.3">
      <c r="A140" s="93" t="s">
        <v>100</v>
      </c>
      <c r="B140" s="21"/>
      <c r="C140" s="84"/>
      <c r="D140" s="84"/>
      <c r="E140" s="84"/>
      <c r="F140" s="83"/>
      <c r="G140" s="32"/>
      <c r="H140" s="32"/>
      <c r="I140" s="32"/>
      <c r="J140" s="32"/>
      <c r="K140" s="32"/>
      <c r="L140" s="20">
        <f ca="1">LOOKUP(1000,INDIRECT("L1:"&amp;CELL("address",INDIRECT("R[-1]C",FALSE))))+1</f>
        <v>3</v>
      </c>
      <c r="M140" s="318" t="s">
        <v>530</v>
      </c>
      <c r="N140" s="318"/>
      <c r="O140" s="5"/>
      <c r="P140" s="33"/>
      <c r="Q140" s="33"/>
      <c r="R140" s="33"/>
      <c r="S140" s="33"/>
      <c r="T140" s="167">
        <f>IF($S$6="Exclude", SUMIFS(S141:S143, J141:J143, "&lt;&gt;Yes", G141:G143, "&lt;&gt;Yes"), SUMIFS(S141:S143, J141:J143, "&lt;&gt;Yes"))</f>
        <v>5</v>
      </c>
      <c r="U140" s="33"/>
      <c r="V140" s="33"/>
      <c r="W140" s="33"/>
      <c r="X140" s="34"/>
      <c r="Y140" s="35"/>
      <c r="Z140" s="35"/>
      <c r="AA140" s="35"/>
      <c r="AB140" s="242"/>
      <c r="AC140" s="36"/>
      <c r="AD140" s="26" t="str">
        <f>IF(M140="", "Error: Task name cannot be empty.", "")</f>
        <v/>
      </c>
    </row>
    <row r="141" spans="1:30" s="15" customFormat="1" ht="1.5" hidden="1" customHeight="1" outlineLevel="2" x14ac:dyDescent="0.3">
      <c r="A141" s="93" t="s">
        <v>101</v>
      </c>
      <c r="B141" s="21"/>
      <c r="C141" s="84"/>
      <c r="D141" s="84"/>
      <c r="E141" s="84"/>
      <c r="F141" s="83"/>
      <c r="G141" s="32"/>
      <c r="H141" s="32"/>
      <c r="I141" s="32"/>
      <c r="J141" s="32"/>
      <c r="K141" s="32"/>
      <c r="L141" s="175">
        <f ca="1">L140</f>
        <v>3</v>
      </c>
      <c r="M141" s="176" t="s">
        <v>105</v>
      </c>
      <c r="N141" s="173"/>
      <c r="O141" s="174"/>
      <c r="P141" s="33"/>
      <c r="Q141" s="33"/>
      <c r="R141" s="33"/>
      <c r="S141" s="33"/>
      <c r="T141" s="167"/>
      <c r="U141" s="33"/>
      <c r="V141" s="33"/>
      <c r="W141" s="33"/>
      <c r="X141" s="34"/>
      <c r="Y141" s="35"/>
      <c r="Z141" s="35"/>
      <c r="AA141" s="35"/>
      <c r="AB141" s="36"/>
      <c r="AC141" s="36"/>
      <c r="AD141" s="26"/>
    </row>
    <row r="142" spans="1:30" ht="43.2" hidden="1" outlineLevel="2" x14ac:dyDescent="0.3">
      <c r="A142" s="93" t="s">
        <v>0</v>
      </c>
      <c r="B142" s="21"/>
      <c r="C142" s="85"/>
      <c r="D142" s="85"/>
      <c r="E142" s="85"/>
      <c r="F142" s="86"/>
      <c r="G142" s="22" t="s">
        <v>23</v>
      </c>
      <c r="H142" s="22" t="s">
        <v>23</v>
      </c>
      <c r="I142" s="23" t="s">
        <v>23</v>
      </c>
      <c r="J142" s="22" t="s">
        <v>23</v>
      </c>
      <c r="K142" s="38"/>
      <c r="L142" s="22"/>
      <c r="M142" s="288" t="str">
        <f ca="1">IFERROR(OFFSET(M142,-1,,1,1)+0.1,OFFSET(M142,-1,-1,1,1)&amp;".1")</f>
        <v>3.1</v>
      </c>
      <c r="N142" s="23" t="s">
        <v>531</v>
      </c>
      <c r="O142" s="23"/>
      <c r="P142" s="23" t="s">
        <v>543</v>
      </c>
      <c r="Q142" s="144">
        <v>1</v>
      </c>
      <c r="R142" s="137">
        <v>2</v>
      </c>
      <c r="S142" s="169">
        <f>CEILING((IF(J142="Yes", 0, IF(H142="-",AA142,AA142+AA142*VLOOKUP(H142,BUFFERS_BY_TYPE,2,FALSE)))) +
   (IF(J142="Yes", 0, IF(H142="-",AA142,AA142+AA142*VLOOKUP(H142,BUFFERS_BY_TYPE,2,FALSE))))*VLOOKUP($S$5, SALES_CALL_SCALE_ARRAY, 2,FALSE),0.25)</f>
        <v>5</v>
      </c>
      <c r="T142" s="170"/>
      <c r="U142" s="24">
        <v>0</v>
      </c>
      <c r="V142" s="24">
        <v>1</v>
      </c>
      <c r="W142" s="24">
        <v>0</v>
      </c>
      <c r="X142" s="168">
        <v>5</v>
      </c>
      <c r="Y142" s="169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5</v>
      </c>
      <c r="Z142" s="25"/>
      <c r="AA142" s="169">
        <f>Y142+Y142*VLOOKUP(I142,EXTRAS_ARRAY,2,FALSE)</f>
        <v>5</v>
      </c>
      <c r="AB142" s="23" t="s">
        <v>545</v>
      </c>
      <c r="AC142" s="37"/>
      <c r="AD142" s="26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s="11" customFormat="1" ht="7.5" hidden="1" customHeight="1" outlineLevel="2" x14ac:dyDescent="0.3">
      <c r="A143" s="93" t="s">
        <v>132</v>
      </c>
      <c r="B143" s="18"/>
      <c r="C143" s="78"/>
      <c r="D143" s="78"/>
      <c r="E143" s="78"/>
      <c r="F143" s="78"/>
      <c r="G143" s="10"/>
      <c r="H143" s="10"/>
      <c r="I143" s="10"/>
      <c r="J143" s="10"/>
      <c r="K143" s="10"/>
      <c r="L143" s="10"/>
      <c r="M143" s="289"/>
      <c r="N143" s="10"/>
      <c r="O143" s="10"/>
      <c r="P143" s="10"/>
      <c r="Q143" s="10"/>
      <c r="R143" s="10"/>
      <c r="S143" s="10"/>
      <c r="T143" s="18"/>
      <c r="U143" s="10"/>
      <c r="V143" s="10"/>
      <c r="W143" s="10"/>
      <c r="X143" s="18"/>
      <c r="Y143" s="10"/>
      <c r="Z143" s="10"/>
      <c r="AA143" s="10"/>
      <c r="AB143" s="60"/>
      <c r="AC143" s="60"/>
      <c r="AD143" s="12"/>
    </row>
    <row r="144" spans="1:30" s="17" customFormat="1" ht="15.6" hidden="1" outlineLevel="1" x14ac:dyDescent="0.3">
      <c r="A144" s="93" t="s">
        <v>100</v>
      </c>
      <c r="B144" s="21"/>
      <c r="C144" s="84"/>
      <c r="D144" s="84"/>
      <c r="E144" s="84"/>
      <c r="F144" s="83"/>
      <c r="G144" s="32"/>
      <c r="H144" s="32"/>
      <c r="I144" s="32"/>
      <c r="J144" s="32"/>
      <c r="K144" s="32"/>
      <c r="L144" s="20">
        <f ca="1">LOOKUP(1000,INDIRECT("L1:"&amp;CELL("address",INDIRECT("R[-1]C",FALSE))))+1</f>
        <v>4</v>
      </c>
      <c r="M144" s="318" t="s">
        <v>532</v>
      </c>
      <c r="N144" s="318"/>
      <c r="O144" s="5"/>
      <c r="P144" s="33"/>
      <c r="Q144" s="33"/>
      <c r="R144" s="33"/>
      <c r="S144" s="33"/>
      <c r="T144" s="167">
        <f>IF($S$6="Exclude", SUMIFS(S145:S150, J145:J150, "&lt;&gt;Yes", G145:G150, "&lt;&gt;Yes"), SUMIFS(S145:S150, J145:J150, "&lt;&gt;Yes"))</f>
        <v>7</v>
      </c>
      <c r="U144" s="33"/>
      <c r="V144" s="33"/>
      <c r="W144" s="33"/>
      <c r="X144" s="34"/>
      <c r="Y144" s="35"/>
      <c r="Z144" s="35"/>
      <c r="AA144" s="35"/>
      <c r="AB144" s="242"/>
      <c r="AC144" s="36"/>
      <c r="AD144" s="26" t="str">
        <f>IF(M144="", "Error: Task name cannot be empty.", "")</f>
        <v/>
      </c>
    </row>
    <row r="145" spans="1:30" s="15" customFormat="1" ht="1.5" hidden="1" customHeight="1" outlineLevel="2" x14ac:dyDescent="0.3">
      <c r="A145" s="93" t="s">
        <v>101</v>
      </c>
      <c r="B145" s="21"/>
      <c r="C145" s="84"/>
      <c r="D145" s="84"/>
      <c r="E145" s="84"/>
      <c r="F145" s="83"/>
      <c r="G145" s="32"/>
      <c r="H145" s="32"/>
      <c r="I145" s="32"/>
      <c r="J145" s="32"/>
      <c r="K145" s="32"/>
      <c r="L145" s="175">
        <f ca="1">L144</f>
        <v>4</v>
      </c>
      <c r="M145" s="176" t="s">
        <v>105</v>
      </c>
      <c r="N145" s="173"/>
      <c r="O145" s="174"/>
      <c r="P145" s="33"/>
      <c r="Q145" s="33"/>
      <c r="R145" s="33"/>
      <c r="S145" s="33"/>
      <c r="T145" s="167"/>
      <c r="U145" s="33"/>
      <c r="V145" s="33"/>
      <c r="W145" s="33"/>
      <c r="X145" s="34"/>
      <c r="Y145" s="35"/>
      <c r="Z145" s="35"/>
      <c r="AA145" s="35"/>
      <c r="AB145" s="36"/>
      <c r="AC145" s="36"/>
      <c r="AD145" s="26"/>
    </row>
    <row r="146" spans="1:30" ht="43.2" hidden="1" outlineLevel="2" x14ac:dyDescent="0.3">
      <c r="A146" s="93" t="s">
        <v>0</v>
      </c>
      <c r="B146" s="21"/>
      <c r="C146" s="85"/>
      <c r="D146" s="85"/>
      <c r="E146" s="85"/>
      <c r="F146" s="86"/>
      <c r="G146" s="22" t="s">
        <v>23</v>
      </c>
      <c r="H146" s="22" t="s">
        <v>23</v>
      </c>
      <c r="I146" s="23" t="s">
        <v>23</v>
      </c>
      <c r="J146" s="22" t="s">
        <v>23</v>
      </c>
      <c r="K146" s="38"/>
      <c r="L146" s="22"/>
      <c r="M146" s="288" t="str">
        <f ca="1">IFERROR(OFFSET(M146,-1,,1,1)+0.1,OFFSET(M146,-1,-1,1,1)&amp;".1")</f>
        <v>4.1</v>
      </c>
      <c r="N146" s="23" t="s">
        <v>533</v>
      </c>
      <c r="O146" s="23"/>
      <c r="P146" s="23"/>
      <c r="Q146" s="144"/>
      <c r="R146" s="137"/>
      <c r="S146" s="169">
        <f>CEILING((IF(J146="Yes", 0, IF(H146="-",AA146,AA146+AA146*VLOOKUP(H146,BUFFERS_BY_TYPE,2,FALSE)))) +
   (IF(J146="Yes", 0, IF(H146="-",AA146,AA146+AA146*VLOOKUP(H146,BUFFERS_BY_TYPE,2,FALSE))))*VLOOKUP($S$5, SALES_CALL_SCALE_ARRAY, 2,FALSE),0.25)</f>
        <v>1</v>
      </c>
      <c r="T146" s="170"/>
      <c r="U146" s="24">
        <v>0</v>
      </c>
      <c r="V146" s="24">
        <v>1</v>
      </c>
      <c r="W146" s="24">
        <v>0</v>
      </c>
      <c r="X146" s="168">
        <v>1</v>
      </c>
      <c r="Y146" s="169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>1</v>
      </c>
      <c r="Z146" s="25"/>
      <c r="AA146" s="169">
        <f>Y146+Y146*VLOOKUP(I146,EXTRAS_ARRAY,2,FALSE)</f>
        <v>1</v>
      </c>
      <c r="AB146" s="23"/>
      <c r="AC146" s="37"/>
      <c r="AD146" s="26" t="str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spans="1:30" ht="43.2" hidden="1" outlineLevel="2" x14ac:dyDescent="0.3">
      <c r="A147" s="93" t="s">
        <v>0</v>
      </c>
      <c r="B147" s="21"/>
      <c r="C147" s="85"/>
      <c r="D147" s="85"/>
      <c r="E147" s="85"/>
      <c r="F147" s="86"/>
      <c r="G147" s="22" t="s">
        <v>23</v>
      </c>
      <c r="H147" s="22" t="s">
        <v>23</v>
      </c>
      <c r="I147" s="23" t="s">
        <v>23</v>
      </c>
      <c r="J147" s="22" t="s">
        <v>23</v>
      </c>
      <c r="K147" s="38"/>
      <c r="L147" s="22"/>
      <c r="M147" s="288">
        <f ca="1">IFERROR(OFFSET(M147,-1,,1,1)+0.1,OFFSET(M147,-1,-1,1,1)&amp;".1")</f>
        <v>4.1999999999999993</v>
      </c>
      <c r="N147" s="23" t="s">
        <v>534</v>
      </c>
      <c r="O147" s="23"/>
      <c r="P147" s="23"/>
      <c r="Q147" s="144"/>
      <c r="R147" s="137"/>
      <c r="S147" s="169">
        <f>CEILING((IF(J147="Yes", 0, IF(H147="-",AA147,AA147+AA147*VLOOKUP(H147,BUFFERS_BY_TYPE,2,FALSE)))) +
   (IF(J147="Yes", 0, IF(H147="-",AA147,AA147+AA147*VLOOKUP(H147,BUFFERS_BY_TYPE,2,FALSE))))*VLOOKUP($S$5, SALES_CALL_SCALE_ARRAY, 2,FALSE),0.25)</f>
        <v>1</v>
      </c>
      <c r="T147" s="170"/>
      <c r="U147" s="24">
        <v>0</v>
      </c>
      <c r="V147" s="24">
        <v>1</v>
      </c>
      <c r="W147" s="24">
        <v>0</v>
      </c>
      <c r="X147" s="168">
        <v>1</v>
      </c>
      <c r="Y147" s="169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1</v>
      </c>
      <c r="Z147" s="25"/>
      <c r="AA147" s="169">
        <f>Y147+Y147*VLOOKUP(I147,EXTRAS_ARRAY,2,FALSE)</f>
        <v>1</v>
      </c>
      <c r="AB147" s="23"/>
      <c r="AC147" s="37"/>
      <c r="AD147" s="26" t="str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43.2" hidden="1" outlineLevel="2" x14ac:dyDescent="0.3">
      <c r="A148" s="93" t="s">
        <v>0</v>
      </c>
      <c r="B148" s="21"/>
      <c r="C148" s="85"/>
      <c r="D148" s="85"/>
      <c r="E148" s="85"/>
      <c r="F148" s="86"/>
      <c r="G148" s="22" t="s">
        <v>23</v>
      </c>
      <c r="H148" s="22" t="s">
        <v>23</v>
      </c>
      <c r="I148" s="23" t="s">
        <v>23</v>
      </c>
      <c r="J148" s="22" t="s">
        <v>23</v>
      </c>
      <c r="K148" s="38"/>
      <c r="L148" s="22"/>
      <c r="M148" s="288">
        <f ca="1">IFERROR(OFFSET(M148,-1,,1,1)+0.1,OFFSET(M148,-1,-1,1,1)&amp;".1")</f>
        <v>4.2999999999999989</v>
      </c>
      <c r="N148" s="23" t="s">
        <v>535</v>
      </c>
      <c r="O148" s="23"/>
      <c r="P148" s="23"/>
      <c r="Q148" s="144"/>
      <c r="R148" s="137"/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>3</v>
      </c>
      <c r="T148" s="170"/>
      <c r="U148" s="24">
        <v>0</v>
      </c>
      <c r="V148" s="24">
        <v>1</v>
      </c>
      <c r="W148" s="24">
        <v>0</v>
      </c>
      <c r="X148" s="168">
        <v>3</v>
      </c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3</v>
      </c>
      <c r="Z148" s="25"/>
      <c r="AA148" s="169">
        <f>Y148+Y148*VLOOKUP(I148,EXTRAS_ARRAY,2,FALSE)</f>
        <v>3</v>
      </c>
      <c r="AB148" s="23"/>
      <c r="AC148" s="37"/>
      <c r="AD148" s="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ht="43.2" hidden="1" outlineLevel="2" x14ac:dyDescent="0.3">
      <c r="A149" s="93" t="s">
        <v>0</v>
      </c>
      <c r="B149" s="21"/>
      <c r="C149" s="85"/>
      <c r="D149" s="85"/>
      <c r="E149" s="85"/>
      <c r="F149" s="86"/>
      <c r="G149" s="22" t="s">
        <v>23</v>
      </c>
      <c r="H149" s="22" t="s">
        <v>23</v>
      </c>
      <c r="I149" s="23" t="s">
        <v>23</v>
      </c>
      <c r="J149" s="22" t="s">
        <v>23</v>
      </c>
      <c r="K149" s="38"/>
      <c r="L149" s="22"/>
      <c r="M149" s="288">
        <f ca="1">IFERROR(OFFSET(M149,-1,,1,1)+0.1,OFFSET(M149,-1,-1,1,1)&amp;".1")</f>
        <v>4.3999999999999986</v>
      </c>
      <c r="N149" s="23" t="s">
        <v>536</v>
      </c>
      <c r="O149" s="23"/>
      <c r="P149" s="23"/>
      <c r="Q149" s="144"/>
      <c r="R149" s="137"/>
      <c r="S149" s="169">
        <f>CEILING((IF(J149="Yes", 0, IF(H149="-",AA149,AA149+AA149*VLOOKUP(H149,BUFFERS_BY_TYPE,2,FALSE)))) +
   (IF(J149="Yes", 0, IF(H149="-",AA149,AA149+AA149*VLOOKUP(H149,BUFFERS_BY_TYPE,2,FALSE))))*VLOOKUP($S$5, SALES_CALL_SCALE_ARRAY, 2,FALSE),0.25)</f>
        <v>2</v>
      </c>
      <c r="T149" s="170"/>
      <c r="U149" s="24">
        <v>0</v>
      </c>
      <c r="V149" s="24">
        <v>1</v>
      </c>
      <c r="W149" s="24">
        <v>0</v>
      </c>
      <c r="X149" s="168">
        <v>2</v>
      </c>
      <c r="Y149" s="169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2</v>
      </c>
      <c r="Z149" s="25"/>
      <c r="AA149" s="169">
        <f>Y149+Y149*VLOOKUP(I149,EXTRAS_ARRAY,2,FALSE)</f>
        <v>2</v>
      </c>
      <c r="AB149" s="23"/>
      <c r="AC149" s="37"/>
      <c r="AD149" s="26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s="11" customFormat="1" ht="7.5" hidden="1" customHeight="1" outlineLevel="2" x14ac:dyDescent="0.3">
      <c r="A150" s="93" t="s">
        <v>132</v>
      </c>
      <c r="B150" s="18"/>
      <c r="C150" s="78"/>
      <c r="D150" s="78"/>
      <c r="E150" s="78"/>
      <c r="F150" s="78"/>
      <c r="G150" s="10"/>
      <c r="H150" s="10"/>
      <c r="I150" s="10"/>
      <c r="J150" s="10"/>
      <c r="K150" s="10"/>
      <c r="L150" s="10"/>
      <c r="M150" s="289"/>
      <c r="N150" s="10"/>
      <c r="O150" s="10"/>
      <c r="P150" s="10"/>
      <c r="Q150" s="10"/>
      <c r="R150" s="10"/>
      <c r="S150" s="10"/>
      <c r="T150" s="18"/>
      <c r="U150" s="10"/>
      <c r="V150" s="10"/>
      <c r="W150" s="10"/>
      <c r="X150" s="18"/>
      <c r="Y150" s="10"/>
      <c r="Z150" s="10"/>
      <c r="AA150" s="10"/>
      <c r="AB150" s="60"/>
      <c r="AC150" s="60"/>
      <c r="AD150" s="12"/>
    </row>
    <row r="151" spans="1:30" s="11" customFormat="1" ht="3" hidden="1" customHeight="1" outlineLevel="1" x14ac:dyDescent="0.3">
      <c r="A151" s="93" t="s">
        <v>102</v>
      </c>
      <c r="B151" s="10"/>
      <c r="C151" s="78"/>
      <c r="D151" s="78"/>
      <c r="E151" s="78"/>
      <c r="F151" s="78"/>
      <c r="G151" s="59"/>
      <c r="H151" s="59"/>
      <c r="I151" s="59"/>
      <c r="J151" s="59"/>
      <c r="K151" s="59"/>
      <c r="L151" s="61"/>
      <c r="M151" s="290"/>
      <c r="N151" s="62"/>
      <c r="O151" s="62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2"/>
      <c r="AC151" s="62"/>
      <c r="AD151" s="12"/>
    </row>
    <row r="152" spans="1:30" s="17" customFormat="1" ht="18" collapsed="1" x14ac:dyDescent="0.3">
      <c r="A152" s="93" t="s">
        <v>98</v>
      </c>
      <c r="B152" s="14"/>
      <c r="C152" s="79"/>
      <c r="D152" s="79"/>
      <c r="E152" s="79"/>
      <c r="F152" s="78"/>
      <c r="G152" s="55"/>
      <c r="H152" s="55"/>
      <c r="I152" s="55"/>
      <c r="J152" s="55"/>
      <c r="K152" s="55"/>
      <c r="L152" s="55" t="s">
        <v>83</v>
      </c>
      <c r="M152" s="286" t="s">
        <v>76</v>
      </c>
      <c r="N152" s="56"/>
      <c r="O152" s="57"/>
      <c r="P152" s="58"/>
      <c r="Q152" s="58"/>
      <c r="R152" s="58"/>
      <c r="S152" s="321">
        <f>CEILING(SUMIF(J153:J158, "&lt;&gt;Yes", T153:T158),1)</f>
        <v>25</v>
      </c>
      <c r="T152" s="321"/>
      <c r="U152" s="58"/>
      <c r="V152" s="58"/>
      <c r="W152" s="58"/>
      <c r="X152" s="58"/>
      <c r="Y152" s="58"/>
      <c r="Z152" s="58"/>
      <c r="AA152" s="58"/>
      <c r="AB152" s="58"/>
      <c r="AC152" s="58"/>
      <c r="AD152" s="16"/>
    </row>
    <row r="153" spans="1:30" s="11" customFormat="1" ht="3" hidden="1" customHeight="1" outlineLevel="1" x14ac:dyDescent="0.3">
      <c r="A153" s="93" t="s">
        <v>99</v>
      </c>
      <c r="B153" s="18"/>
      <c r="C153" s="78"/>
      <c r="D153" s="78"/>
      <c r="E153" s="78"/>
      <c r="F153" s="78"/>
      <c r="G153" s="28"/>
      <c r="H153" s="28"/>
      <c r="I153" s="28"/>
      <c r="J153" s="28"/>
      <c r="K153" s="28"/>
      <c r="L153" s="29">
        <v>0</v>
      </c>
      <c r="M153" s="287"/>
      <c r="N153" s="28"/>
      <c r="O153" s="28"/>
      <c r="P153" s="28"/>
      <c r="Q153" s="28"/>
      <c r="R153" s="28"/>
      <c r="S153" s="28"/>
      <c r="T153" s="30"/>
      <c r="U153" s="28"/>
      <c r="V153" s="28"/>
      <c r="W153" s="28"/>
      <c r="X153" s="30"/>
      <c r="Y153" s="28"/>
      <c r="Z153" s="28"/>
      <c r="AA153" s="28"/>
      <c r="AB153" s="31"/>
      <c r="AC153" s="31"/>
      <c r="AD153" s="12"/>
    </row>
    <row r="154" spans="1:30" s="17" customFormat="1" ht="15.6" hidden="1" outlineLevel="1" x14ac:dyDescent="0.3">
      <c r="A154" s="93" t="s">
        <v>100</v>
      </c>
      <c r="B154" s="21"/>
      <c r="C154" s="84"/>
      <c r="D154" s="84"/>
      <c r="E154" s="84"/>
      <c r="F154" s="83"/>
      <c r="G154" s="32"/>
      <c r="H154" s="32"/>
      <c r="I154" s="32"/>
      <c r="J154" s="32"/>
      <c r="K154" s="32"/>
      <c r="L154" s="20">
        <f ca="1">LOOKUP(1000,INDIRECT("L1:"&amp;CELL("address",INDIRECT("R[-1]C",FALSE))))+1</f>
        <v>1</v>
      </c>
      <c r="M154" s="318" t="s">
        <v>546</v>
      </c>
      <c r="N154" s="318"/>
      <c r="O154" s="5"/>
      <c r="P154" s="33"/>
      <c r="Q154" s="33"/>
      <c r="R154" s="33"/>
      <c r="S154" s="33"/>
      <c r="T154" s="167">
        <f>IF($S$6="Exclude", SUMIFS(S155:S157, J155:J157, "&lt;&gt;Yes", G155:G157, "&lt;&gt;Yes"), SUMIFS(S155:S157, J155:J157, "&lt;&gt;Yes"))</f>
        <v>24.75</v>
      </c>
      <c r="U154" s="33"/>
      <c r="V154" s="33"/>
      <c r="W154" s="33"/>
      <c r="X154" s="34"/>
      <c r="Y154" s="35"/>
      <c r="Z154" s="35"/>
      <c r="AA154" s="35"/>
      <c r="AB154" s="242"/>
      <c r="AC154" s="36"/>
      <c r="AD154" s="26" t="str">
        <f>IF(M154="", "Error: Task name cannot be empty.", "")</f>
        <v/>
      </c>
    </row>
    <row r="155" spans="1:30" s="15" customFormat="1" ht="1.5" hidden="1" customHeight="1" outlineLevel="2" x14ac:dyDescent="0.3">
      <c r="A155" s="93" t="s">
        <v>101</v>
      </c>
      <c r="B155" s="21"/>
      <c r="C155" s="84"/>
      <c r="D155" s="84"/>
      <c r="E155" s="84"/>
      <c r="F155" s="83"/>
      <c r="G155" s="32"/>
      <c r="H155" s="32"/>
      <c r="I155" s="32"/>
      <c r="J155" s="32"/>
      <c r="K155" s="32"/>
      <c r="L155" s="175">
        <f ca="1">L154</f>
        <v>1</v>
      </c>
      <c r="M155" s="176" t="s">
        <v>105</v>
      </c>
      <c r="N155" s="173"/>
      <c r="O155" s="174"/>
      <c r="P155" s="33"/>
      <c r="Q155" s="33"/>
      <c r="R155" s="33"/>
      <c r="S155" s="33"/>
      <c r="T155" s="167"/>
      <c r="U155" s="33"/>
      <c r="V155" s="33"/>
      <c r="W155" s="33"/>
      <c r="X155" s="34"/>
      <c r="Y155" s="35"/>
      <c r="Z155" s="35"/>
      <c r="AA155" s="35"/>
      <c r="AB155" s="36"/>
      <c r="AC155" s="36"/>
      <c r="AD155" s="26"/>
    </row>
    <row r="156" spans="1:30" ht="15.6" hidden="1" outlineLevel="2" x14ac:dyDescent="0.3">
      <c r="A156" s="93" t="s">
        <v>0</v>
      </c>
      <c r="B156" s="21"/>
      <c r="C156" s="85"/>
      <c r="D156" s="85"/>
      <c r="E156" s="85"/>
      <c r="F156" s="86"/>
      <c r="G156" s="22" t="s">
        <v>23</v>
      </c>
      <c r="H156" s="22" t="s">
        <v>23</v>
      </c>
      <c r="I156" s="23" t="s">
        <v>23</v>
      </c>
      <c r="J156" s="22" t="s">
        <v>23</v>
      </c>
      <c r="K156" s="38"/>
      <c r="L156" s="22"/>
      <c r="M156" s="288" t="str">
        <f ca="1">IFERROR(OFFSET(M156,-1,,1,1)+0.1,OFFSET(M156,-1,-1,1,1)&amp;".1")</f>
        <v>1.1</v>
      </c>
      <c r="N156" s="23" t="s">
        <v>547</v>
      </c>
      <c r="O156" s="23" t="s">
        <v>548</v>
      </c>
      <c r="P156" s="276">
        <v>0.1</v>
      </c>
      <c r="Q156" s="144"/>
      <c r="R156" s="137"/>
      <c r="S156" s="169">
        <f>CEILING((IF(J156="Yes", 0, IF(H156="-",AA156,AA156+AA156*VLOOKUP(H156,BUFFERS_BY_TYPE,2,FALSE)))) +
   (IF(J156="Yes", 0, IF(H156="-",AA156,AA156+AA156*VLOOKUP(H156,BUFFERS_BY_TYPE,2,FALSE))))*VLOOKUP($S$5, SALES_CALL_SCALE_ARRAY, 2,FALSE),0.25)</f>
        <v>24.75</v>
      </c>
      <c r="T156" s="170"/>
      <c r="U156" s="24">
        <v>0</v>
      </c>
      <c r="V156" s="24">
        <v>1</v>
      </c>
      <c r="W156" s="24">
        <v>0</v>
      </c>
      <c r="X156" s="168">
        <f>(REQ_EFFORT+DESIGN_EFFORT+DEV_EFFORT+QA_EFFORT+UAT_EFFORT) * P156</f>
        <v>24.6</v>
      </c>
      <c r="Y156" s="169">
        <f>CEILING((IF(P156=AS_DEV_EFFORT, DEV_EFFORT*Q156%,
                           IF(P156=AS_DURATION_EFFORT, (MANUAL_DURATION*5)*Q156%,
                                    (IF(Q156&lt;=1,X156,
                                          IF(SUM(U156:W156)=0,(Q156*X156),
                                               (((Q156*U156)*(X156+(X156*EXTRA_FOR_H)))+
                                               ((Q156*V156)*X156)+
                                               ((Q156*W156)*(X156-(X156*LESS_FOR_L)))
                                    )*IF(R156=0,1,R156))))))+Z156), 0.25)</f>
        <v>24.75</v>
      </c>
      <c r="Z156" s="25"/>
      <c r="AA156" s="169">
        <f>Y156+Y156*VLOOKUP(I156,EXTRAS_ARRAY,2,FALSE)</f>
        <v>24.75</v>
      </c>
      <c r="AB156" s="23"/>
      <c r="AC156" s="37"/>
      <c r="AD156" s="26" t="str">
        <f>IF(J156&lt;&gt;"Yes",
IF(S156&lt;=0,"Error: Effort value is not defined or is invalid.",
IF(AND(SUM(U156:W156)&gt;0,SUM(U156:W156)&lt;&gt;1),"Error: Complexity % distribution should sum to 100%.",
IF(AND(P156=AS_DEV_EFFORT,X156&lt;&gt;0),"Error: PDs should not be defined when defining as dev effort %.",
IF(AND(P156=AS_DURATION_EFFORT,X156&lt;&gt;0),"Error: PDs should not be defined when defining as duration effort %.","")))))</f>
        <v/>
      </c>
    </row>
    <row r="157" spans="1:30" s="11" customFormat="1" ht="7.5" hidden="1" customHeight="1" outlineLevel="2" x14ac:dyDescent="0.3">
      <c r="A157" s="93" t="s">
        <v>132</v>
      </c>
      <c r="B157" s="18"/>
      <c r="C157" s="78"/>
      <c r="D157" s="78"/>
      <c r="E157" s="78"/>
      <c r="F157" s="78"/>
      <c r="G157" s="10"/>
      <c r="H157" s="10"/>
      <c r="I157" s="10"/>
      <c r="J157" s="10"/>
      <c r="K157" s="10"/>
      <c r="L157" s="10"/>
      <c r="M157" s="289"/>
      <c r="N157" s="10"/>
      <c r="O157" s="10"/>
      <c r="P157" s="10"/>
      <c r="Q157" s="10"/>
      <c r="R157" s="10"/>
      <c r="S157" s="10"/>
      <c r="T157" s="18"/>
      <c r="U157" s="10"/>
      <c r="V157" s="10"/>
      <c r="W157" s="10"/>
      <c r="X157" s="18"/>
      <c r="Y157" s="10"/>
      <c r="Z157" s="10"/>
      <c r="AA157" s="10"/>
      <c r="AB157" s="60"/>
      <c r="AC157" s="60"/>
      <c r="AD157" s="12"/>
    </row>
    <row r="158" spans="1:30" s="11" customFormat="1" ht="3" hidden="1" customHeight="1" outlineLevel="1" x14ac:dyDescent="0.3">
      <c r="A158" s="93" t="s">
        <v>102</v>
      </c>
      <c r="B158" s="10"/>
      <c r="C158" s="78"/>
      <c r="D158" s="78"/>
      <c r="E158" s="78"/>
      <c r="F158" s="78"/>
      <c r="G158" s="59"/>
      <c r="H158" s="59"/>
      <c r="I158" s="59"/>
      <c r="J158" s="59"/>
      <c r="K158" s="59"/>
      <c r="L158" s="61"/>
      <c r="M158" s="290"/>
      <c r="N158" s="62"/>
      <c r="O158" s="62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2"/>
      <c r="AC158" s="62"/>
      <c r="AD158" s="12"/>
    </row>
    <row r="159" spans="1:30" s="11" customFormat="1" ht="20.25" customHeight="1" x14ac:dyDescent="0.3">
      <c r="A159" s="93" t="s">
        <v>103</v>
      </c>
      <c r="B159" s="10"/>
      <c r="C159" s="78"/>
      <c r="D159" s="78"/>
      <c r="E159" s="78"/>
      <c r="F159" s="78"/>
      <c r="G159" s="43"/>
      <c r="H159" s="43"/>
      <c r="I159" s="43"/>
      <c r="J159" s="43"/>
      <c r="K159" s="43"/>
      <c r="L159" s="146"/>
      <c r="M159" s="283"/>
      <c r="N159" s="43"/>
      <c r="O159" s="43"/>
      <c r="P159" s="43"/>
      <c r="Q159" s="43"/>
      <c r="R159" s="43"/>
      <c r="S159" s="322">
        <f>TOTAL_EFFORT</f>
        <v>271</v>
      </c>
      <c r="T159" s="322"/>
      <c r="U159" s="43"/>
      <c r="V159" s="43"/>
      <c r="W159" s="43"/>
      <c r="X159" s="43"/>
      <c r="Y159" s="43"/>
      <c r="Z159" s="43"/>
      <c r="AA159" s="43"/>
      <c r="AB159" s="145"/>
      <c r="AC159" s="43"/>
      <c r="AD159" s="12"/>
    </row>
    <row r="160" spans="1:30" s="11" customFormat="1" x14ac:dyDescent="0.3">
      <c r="A160" s="93"/>
      <c r="B160" s="10"/>
      <c r="C160" s="80"/>
      <c r="D160" s="80"/>
      <c r="E160" s="80"/>
      <c r="F160" s="78"/>
      <c r="M160" s="277"/>
      <c r="N160" s="12"/>
      <c r="O160" s="12"/>
      <c r="AB160" s="12"/>
      <c r="AC160" s="12"/>
      <c r="AD160" s="12"/>
    </row>
    <row r="161" spans="1:30" s="11" customFormat="1" ht="20.25" customHeight="1" collapsed="1" x14ac:dyDescent="0.3">
      <c r="A161" s="93"/>
      <c r="B161" s="10"/>
      <c r="C161" s="78"/>
      <c r="D161" s="78"/>
      <c r="E161" s="78"/>
      <c r="F161" s="78"/>
      <c r="G161" s="328" t="s">
        <v>48</v>
      </c>
      <c r="H161" s="328"/>
      <c r="I161" s="200"/>
      <c r="J161" s="43"/>
      <c r="K161" s="43"/>
      <c r="L161" s="39"/>
      <c r="M161" s="291" t="s">
        <v>154</v>
      </c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12"/>
    </row>
    <row r="162" spans="1:30" s="11" customFormat="1" hidden="1" outlineLevel="1" x14ac:dyDescent="0.3">
      <c r="A162" s="93"/>
      <c r="B162" s="10"/>
      <c r="C162" s="80"/>
      <c r="D162" s="80"/>
      <c r="E162" s="80"/>
      <c r="F162" s="78"/>
      <c r="G162" s="28"/>
      <c r="H162" s="28"/>
      <c r="I162" s="28"/>
      <c r="J162" s="28"/>
      <c r="K162" s="28"/>
      <c r="L162" s="28"/>
      <c r="M162" s="287"/>
      <c r="N162" s="31"/>
      <c r="O162" s="31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31"/>
      <c r="AC162" s="31"/>
      <c r="AD162" s="12"/>
    </row>
    <row r="163" spans="1:30" s="11" customFormat="1" ht="15" hidden="1" customHeight="1" outlineLevel="1" x14ac:dyDescent="0.3">
      <c r="A163" s="93"/>
      <c r="B163" s="10"/>
      <c r="C163" s="80"/>
      <c r="D163" s="80"/>
      <c r="E163" s="80"/>
      <c r="F163" s="78"/>
      <c r="G163" s="28"/>
      <c r="H163" s="28"/>
      <c r="I163" s="28"/>
      <c r="J163" s="28"/>
      <c r="K163" s="28"/>
      <c r="L163" s="28"/>
      <c r="M163" s="344" t="s">
        <v>454</v>
      </c>
      <c r="N163" s="344"/>
      <c r="O163" s="344"/>
      <c r="P163" s="344"/>
      <c r="Q163" s="344"/>
      <c r="R163" s="344"/>
      <c r="S163" s="344"/>
      <c r="T163" s="344"/>
      <c r="U163" s="31"/>
      <c r="V163" s="31"/>
      <c r="W163" s="31"/>
      <c r="X163" s="28"/>
      <c r="Y163" s="28"/>
      <c r="Z163" s="28"/>
      <c r="AA163" s="28"/>
      <c r="AB163" s="31"/>
      <c r="AC163" s="31"/>
      <c r="AD163" s="12"/>
    </row>
    <row r="164" spans="1:30" s="11" customFormat="1" hidden="1" outlineLevel="1" x14ac:dyDescent="0.3">
      <c r="A164" s="93"/>
      <c r="B164" s="10"/>
      <c r="C164" s="80"/>
      <c r="D164" s="80"/>
      <c r="E164" s="80"/>
      <c r="F164" s="78"/>
      <c r="G164" s="28"/>
      <c r="H164" s="28"/>
      <c r="I164" s="28"/>
      <c r="J164" s="28"/>
      <c r="K164" s="28"/>
      <c r="L164" s="28"/>
      <c r="M164" s="344"/>
      <c r="N164" s="344"/>
      <c r="O164" s="344"/>
      <c r="P164" s="344"/>
      <c r="Q164" s="344"/>
      <c r="R164" s="344"/>
      <c r="S164" s="344"/>
      <c r="T164" s="344"/>
      <c r="U164" s="31"/>
      <c r="V164" s="31"/>
      <c r="W164" s="31"/>
      <c r="X164" s="28"/>
      <c r="Y164" s="28"/>
      <c r="Z164" s="28"/>
      <c r="AA164" s="28"/>
      <c r="AB164" s="31"/>
      <c r="AC164" s="31"/>
      <c r="AD164" s="12"/>
    </row>
    <row r="165" spans="1:30" s="11" customFormat="1" ht="3.75" hidden="1" customHeight="1" outlineLevel="1" x14ac:dyDescent="0.3">
      <c r="A165" s="93"/>
      <c r="B165" s="10"/>
      <c r="C165" s="80"/>
      <c r="D165" s="80"/>
      <c r="E165" s="80"/>
      <c r="F165" s="78"/>
      <c r="G165" s="28"/>
      <c r="H165" s="28"/>
      <c r="I165" s="28"/>
      <c r="J165" s="28"/>
      <c r="K165" s="28"/>
      <c r="L165" s="28"/>
      <c r="M165" s="287"/>
      <c r="N165" s="31"/>
      <c r="O165" s="31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31"/>
      <c r="AC165" s="31"/>
      <c r="AD165" s="12"/>
    </row>
    <row r="166" spans="1:30" s="11" customFormat="1" ht="15.6" hidden="1" outlineLevel="1" x14ac:dyDescent="0.3">
      <c r="A166" s="93"/>
      <c r="B166" s="10"/>
      <c r="C166" s="80"/>
      <c r="D166" s="80"/>
      <c r="E166" s="80"/>
      <c r="F166" s="78"/>
      <c r="G166" s="28"/>
      <c r="H166" s="28"/>
      <c r="I166" s="28"/>
      <c r="J166" s="28"/>
      <c r="K166" s="28"/>
      <c r="L166" s="28"/>
      <c r="M166" s="292" t="s">
        <v>153</v>
      </c>
      <c r="N166" s="203" t="s">
        <v>3</v>
      </c>
      <c r="O166" s="207" t="s">
        <v>59</v>
      </c>
      <c r="P166" s="206" t="str">
        <f>"Cost ("&amp;CHOSEN_CURRENCY&amp;")"</f>
        <v>Cost (USD)</v>
      </c>
      <c r="Q166" s="28"/>
      <c r="R166" s="244" t="s">
        <v>441</v>
      </c>
      <c r="S166" s="63" t="s">
        <v>453</v>
      </c>
      <c r="T166" s="255" t="s">
        <v>455</v>
      </c>
      <c r="U166" s="243"/>
      <c r="V166" s="243"/>
      <c r="W166" s="28"/>
      <c r="X166" s="243"/>
      <c r="Y166" s="28"/>
      <c r="Z166" s="28"/>
      <c r="AA166" s="28"/>
      <c r="AB166" s="31"/>
      <c r="AC166" s="31"/>
      <c r="AD166" s="12"/>
    </row>
    <row r="167" spans="1:30" s="11" customFormat="1" ht="3" hidden="1" customHeight="1" outlineLevel="1" x14ac:dyDescent="0.3">
      <c r="A167" s="93"/>
      <c r="B167" s="10"/>
      <c r="C167" s="80"/>
      <c r="D167" s="80"/>
      <c r="E167" s="80"/>
      <c r="F167" s="78"/>
      <c r="G167" s="28"/>
      <c r="H167" s="28"/>
      <c r="I167" s="28"/>
      <c r="J167" s="28"/>
      <c r="K167" s="28"/>
      <c r="L167" s="28"/>
      <c r="M167" s="293"/>
      <c r="N167" s="270"/>
      <c r="O167" s="270"/>
      <c r="P167" s="269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31"/>
      <c r="AC167" s="31"/>
      <c r="AD167" s="12"/>
    </row>
    <row r="168" spans="1:30" s="11" customFormat="1" hidden="1" outlineLevel="1" x14ac:dyDescent="0.3">
      <c r="A168" s="93"/>
      <c r="B168" s="10"/>
      <c r="C168" s="80"/>
      <c r="D168" s="80"/>
      <c r="E168" s="80"/>
      <c r="F168" s="78"/>
      <c r="G168" s="28"/>
      <c r="H168" s="28"/>
      <c r="I168" s="28"/>
      <c r="J168" s="28"/>
      <c r="K168" s="28"/>
      <c r="L168" s="28"/>
      <c r="M168" s="287"/>
      <c r="N168" s="31"/>
      <c r="O168" s="31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31"/>
      <c r="AC168" s="31"/>
      <c r="AD168" s="12"/>
    </row>
    <row r="169" spans="1:30" s="306" customFormat="1" hidden="1" outlineLevel="1" x14ac:dyDescent="0.3">
      <c r="A169" s="93"/>
      <c r="B169" s="299"/>
      <c r="C169" s="300"/>
      <c r="D169" s="300"/>
      <c r="E169" s="300"/>
      <c r="F169" s="78"/>
      <c r="G169" s="243"/>
      <c r="H169" s="243"/>
      <c r="I169" s="243"/>
      <c r="J169" s="243"/>
      <c r="K169" s="243"/>
      <c r="L169" s="243"/>
      <c r="M169" s="301">
        <v>1</v>
      </c>
      <c r="N169" s="302" t="s">
        <v>448</v>
      </c>
      <c r="O169" s="303">
        <v>65.7</v>
      </c>
      <c r="P169" s="304">
        <v>14716.1</v>
      </c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  <c r="AA169" s="243"/>
      <c r="AB169" s="302"/>
      <c r="AC169" s="302"/>
      <c r="AD169" s="305"/>
    </row>
    <row r="170" spans="1:30" s="306" customFormat="1" hidden="1" outlineLevel="1" x14ac:dyDescent="0.3">
      <c r="A170" s="93"/>
      <c r="B170" s="299"/>
      <c r="C170" s="300"/>
      <c r="D170" s="300"/>
      <c r="E170" s="300"/>
      <c r="F170" s="78"/>
      <c r="G170" s="243"/>
      <c r="H170" s="243"/>
      <c r="I170" s="243"/>
      <c r="J170" s="243"/>
      <c r="K170" s="243"/>
      <c r="L170" s="243"/>
      <c r="M170" s="301">
        <v>2</v>
      </c>
      <c r="N170" s="302" t="s">
        <v>449</v>
      </c>
      <c r="O170" s="303">
        <v>73.900000000000006</v>
      </c>
      <c r="P170" s="304">
        <v>16555.599999999999</v>
      </c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  <c r="AA170" s="243"/>
      <c r="AB170" s="302"/>
      <c r="AC170" s="302"/>
      <c r="AD170" s="305"/>
    </row>
    <row r="171" spans="1:30" s="317" customFormat="1" hidden="1" outlineLevel="1" x14ac:dyDescent="0.3">
      <c r="A171" s="307"/>
      <c r="B171" s="308"/>
      <c r="C171" s="309"/>
      <c r="D171" s="309"/>
      <c r="E171" s="309"/>
      <c r="F171" s="310"/>
      <c r="G171" s="311"/>
      <c r="H171" s="311"/>
      <c r="I171" s="311"/>
      <c r="J171" s="311"/>
      <c r="K171" s="311"/>
      <c r="L171" s="311"/>
      <c r="M171" s="312" t="s">
        <v>109</v>
      </c>
      <c r="N171" s="313" t="s">
        <v>561</v>
      </c>
      <c r="O171" s="314">
        <v>82.1</v>
      </c>
      <c r="P171" s="315">
        <v>18395.2</v>
      </c>
      <c r="Q171" s="311"/>
      <c r="R171" s="311"/>
      <c r="S171" s="311"/>
      <c r="T171" s="311"/>
      <c r="U171" s="311"/>
      <c r="V171" s="311"/>
      <c r="W171" s="311"/>
      <c r="X171" s="311"/>
      <c r="Y171" s="311"/>
      <c r="Z171" s="311"/>
      <c r="AA171" s="311"/>
      <c r="AB171" s="313"/>
      <c r="AC171" s="313"/>
      <c r="AD171" s="316"/>
    </row>
    <row r="172" spans="1:30" s="306" customFormat="1" hidden="1" outlineLevel="1" x14ac:dyDescent="0.3">
      <c r="A172" s="93"/>
      <c r="B172" s="299"/>
      <c r="C172" s="300"/>
      <c r="D172" s="300"/>
      <c r="E172" s="300"/>
      <c r="F172" s="78"/>
      <c r="G172" s="243"/>
      <c r="H172" s="243"/>
      <c r="I172" s="243"/>
      <c r="J172" s="243"/>
      <c r="K172" s="243"/>
      <c r="L172" s="243"/>
      <c r="M172" s="301">
        <v>3</v>
      </c>
      <c r="N172" s="302" t="s">
        <v>560</v>
      </c>
      <c r="O172" s="303">
        <v>82.1</v>
      </c>
      <c r="P172" s="304">
        <v>18395.2</v>
      </c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  <c r="AA172" s="243"/>
      <c r="AB172" s="302"/>
      <c r="AC172" s="302"/>
      <c r="AD172" s="305"/>
    </row>
    <row r="173" spans="1:30" s="317" customFormat="1" hidden="1" outlineLevel="1" x14ac:dyDescent="0.3">
      <c r="A173" s="307"/>
      <c r="B173" s="308"/>
      <c r="C173" s="309"/>
      <c r="D173" s="309"/>
      <c r="E173" s="309"/>
      <c r="F173" s="310"/>
      <c r="G173" s="311"/>
      <c r="H173" s="311"/>
      <c r="I173" s="311"/>
      <c r="J173" s="311"/>
      <c r="K173" s="311"/>
      <c r="L173" s="311"/>
      <c r="M173" s="312" t="s">
        <v>109</v>
      </c>
      <c r="N173" s="313" t="s">
        <v>450</v>
      </c>
      <c r="O173" s="314">
        <v>47.2</v>
      </c>
      <c r="P173" s="315">
        <v>10577.2</v>
      </c>
      <c r="Q173" s="311"/>
      <c r="R173" s="311"/>
      <c r="S173" s="311"/>
      <c r="T173" s="311"/>
      <c r="U173" s="311"/>
      <c r="V173" s="311"/>
      <c r="W173" s="311"/>
      <c r="X173" s="311"/>
      <c r="Y173" s="311"/>
      <c r="Z173" s="311"/>
      <c r="AA173" s="311"/>
      <c r="AB173" s="313"/>
      <c r="AC173" s="313"/>
      <c r="AD173" s="316"/>
    </row>
    <row r="174" spans="1:30" s="306" customFormat="1" hidden="1" outlineLevel="1" x14ac:dyDescent="0.3">
      <c r="A174" s="93"/>
      <c r="B174" s="299"/>
      <c r="C174" s="300"/>
      <c r="D174" s="300"/>
      <c r="E174" s="300"/>
      <c r="F174" s="78"/>
      <c r="G174" s="243"/>
      <c r="H174" s="243"/>
      <c r="I174" s="243"/>
      <c r="J174" s="243"/>
      <c r="K174" s="243"/>
      <c r="L174" s="243"/>
      <c r="M174" s="301">
        <v>4</v>
      </c>
      <c r="N174" s="302" t="s">
        <v>451</v>
      </c>
      <c r="O174" s="303">
        <v>30.8</v>
      </c>
      <c r="P174" s="304">
        <v>6898.2</v>
      </c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  <c r="AA174" s="243"/>
      <c r="AB174" s="302"/>
      <c r="AC174" s="302"/>
      <c r="AD174" s="305"/>
    </row>
    <row r="175" spans="1:30" s="306" customFormat="1" hidden="1" outlineLevel="1" x14ac:dyDescent="0.3">
      <c r="A175" s="93"/>
      <c r="B175" s="299"/>
      <c r="C175" s="300"/>
      <c r="D175" s="300"/>
      <c r="E175" s="300"/>
      <c r="F175" s="78"/>
      <c r="G175" s="243"/>
      <c r="H175" s="243"/>
      <c r="I175" s="243"/>
      <c r="J175" s="243"/>
      <c r="K175" s="243"/>
      <c r="L175" s="243"/>
      <c r="M175" s="301">
        <v>5</v>
      </c>
      <c r="N175" s="302" t="s">
        <v>452</v>
      </c>
      <c r="O175" s="303">
        <v>16.399999999999999</v>
      </c>
      <c r="P175" s="304">
        <v>3679</v>
      </c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  <c r="AA175" s="243"/>
      <c r="AB175" s="302"/>
      <c r="AC175" s="302"/>
      <c r="AD175" s="305"/>
    </row>
    <row r="176" spans="1:30" s="11" customFormat="1" hidden="1" outlineLevel="1" x14ac:dyDescent="0.3">
      <c r="A176" s="93"/>
      <c r="B176" s="10"/>
      <c r="C176" s="80"/>
      <c r="D176" s="80"/>
      <c r="E176" s="80"/>
      <c r="F176" s="78"/>
      <c r="G176" s="28"/>
      <c r="H176" s="28"/>
      <c r="I176" s="28"/>
      <c r="J176" s="28"/>
      <c r="K176" s="28"/>
      <c r="L176" s="28"/>
      <c r="M176" s="287"/>
      <c r="N176" s="31"/>
      <c r="O176" s="31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31"/>
      <c r="AC176" s="31"/>
      <c r="AD176" s="12"/>
    </row>
    <row r="177" spans="1:30" s="11" customFormat="1" ht="3" hidden="1" customHeight="1" outlineLevel="1" x14ac:dyDescent="0.3">
      <c r="A177" s="93"/>
      <c r="B177" s="10"/>
      <c r="C177" s="80"/>
      <c r="D177" s="80"/>
      <c r="E177" s="80"/>
      <c r="F177" s="78"/>
      <c r="G177" s="28"/>
      <c r="H177" s="28"/>
      <c r="I177" s="28"/>
      <c r="J177" s="28"/>
      <c r="K177" s="28"/>
      <c r="L177" s="28"/>
      <c r="M177" s="293"/>
      <c r="N177" s="270"/>
      <c r="O177" s="270"/>
      <c r="P177" s="269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31"/>
      <c r="AC177" s="31"/>
      <c r="AD177" s="12"/>
    </row>
    <row r="178" spans="1:30" s="11" customFormat="1" hidden="1" outlineLevel="1" x14ac:dyDescent="0.3">
      <c r="A178" s="93"/>
      <c r="B178" s="10"/>
      <c r="C178" s="80"/>
      <c r="D178" s="80"/>
      <c r="E178" s="80"/>
      <c r="F178" s="78"/>
      <c r="G178" s="28"/>
      <c r="H178" s="28"/>
      <c r="I178" s="28"/>
      <c r="J178" s="28"/>
      <c r="K178" s="28"/>
      <c r="L178" s="28"/>
      <c r="M178" s="294"/>
      <c r="N178" s="204"/>
      <c r="O178" s="205">
        <f>TOTAL_EFFORT</f>
        <v>271</v>
      </c>
      <c r="P178" s="205">
        <f>TOTAL_COST</f>
        <v>60704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31"/>
      <c r="AC178" s="31"/>
      <c r="AD178" s="12"/>
    </row>
    <row r="179" spans="1:30" s="11" customFormat="1" hidden="1" outlineLevel="1" x14ac:dyDescent="0.3">
      <c r="A179" s="93"/>
      <c r="B179" s="10"/>
      <c r="C179" s="80"/>
      <c r="D179" s="80"/>
      <c r="E179" s="80"/>
      <c r="F179" s="78"/>
      <c r="G179" s="28"/>
      <c r="H179" s="28"/>
      <c r="I179" s="28"/>
      <c r="J179" s="28"/>
      <c r="K179" s="28"/>
      <c r="L179" s="28"/>
      <c r="M179" s="287"/>
      <c r="N179" s="31"/>
      <c r="O179" s="31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31"/>
      <c r="AC179" s="31"/>
      <c r="AD179" s="12"/>
    </row>
    <row r="180" spans="1:30" s="11" customFormat="1" ht="20.25" hidden="1" customHeight="1" outlineLevel="1" x14ac:dyDescent="0.3">
      <c r="A180" s="93"/>
      <c r="B180" s="10"/>
      <c r="C180" s="78"/>
      <c r="D180" s="78"/>
      <c r="E180" s="78"/>
      <c r="F180" s="78"/>
      <c r="G180" s="43"/>
      <c r="H180" s="43"/>
      <c r="I180" s="43"/>
      <c r="J180" s="43"/>
      <c r="K180" s="43"/>
      <c r="L180" s="43"/>
      <c r="M180" s="28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12"/>
    </row>
    <row r="181" spans="1:30" ht="15" customHeight="1" x14ac:dyDescent="0.3">
      <c r="F181" s="78"/>
    </row>
    <row r="182" spans="1:30" s="11" customFormat="1" ht="20.25" customHeight="1" x14ac:dyDescent="0.3">
      <c r="A182" s="93"/>
      <c r="B182" s="10"/>
      <c r="C182" s="78"/>
      <c r="D182" s="78"/>
      <c r="E182" s="78"/>
      <c r="F182" s="78"/>
      <c r="G182" s="328" t="s">
        <v>48</v>
      </c>
      <c r="H182" s="328"/>
      <c r="I182" s="178"/>
      <c r="J182" s="43"/>
      <c r="K182" s="43"/>
      <c r="L182" s="39"/>
      <c r="M182" s="291" t="s">
        <v>111</v>
      </c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12"/>
    </row>
    <row r="183" spans="1:30" outlineLevel="1" x14ac:dyDescent="0.3">
      <c r="F183" s="78"/>
      <c r="G183" s="63"/>
      <c r="H183" s="63"/>
      <c r="I183" s="63"/>
      <c r="J183" s="63"/>
      <c r="K183" s="63"/>
      <c r="L183" s="63"/>
      <c r="M183" s="296"/>
      <c r="N183" s="64"/>
      <c r="O183" s="64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4"/>
      <c r="AC183" s="31"/>
    </row>
    <row r="184" spans="1:30" outlineLevel="1" x14ac:dyDescent="0.3">
      <c r="F184" s="78"/>
      <c r="G184" s="68">
        <v>1</v>
      </c>
      <c r="H184" s="68"/>
      <c r="I184" s="68"/>
      <c r="J184" s="63"/>
      <c r="K184" s="63"/>
      <c r="L184" s="63"/>
      <c r="M184" s="296"/>
      <c r="N184" s="64"/>
      <c r="O184" s="64"/>
      <c r="P184" s="63"/>
      <c r="Q184" s="333" t="s">
        <v>79</v>
      </c>
      <c r="R184" s="333"/>
      <c r="S184" s="333"/>
      <c r="T184" s="333"/>
      <c r="U184" s="333"/>
      <c r="V184" s="333"/>
      <c r="W184" s="257"/>
      <c r="X184" s="223"/>
      <c r="Y184" s="63"/>
      <c r="Z184" s="63"/>
      <c r="AA184" s="63"/>
      <c r="AB184" s="64"/>
      <c r="AC184" s="31"/>
    </row>
    <row r="185" spans="1:30" ht="15" customHeight="1" outlineLevel="1" x14ac:dyDescent="0.3">
      <c r="B185" s="10" t="str">
        <f>IF(OR(COUNTBLANK(Q185:W185)&lt;&gt;0,SUM(Q185:W185)=0), ".", "")</f>
        <v/>
      </c>
      <c r="F185" s="78"/>
      <c r="G185" s="63">
        <v>2</v>
      </c>
      <c r="H185" s="68"/>
      <c r="I185" s="68"/>
      <c r="J185" s="63"/>
      <c r="K185" s="63"/>
      <c r="L185" s="63"/>
      <c r="M185" s="296"/>
      <c r="N185" s="100"/>
      <c r="O185" s="331" t="s">
        <v>29</v>
      </c>
      <c r="P185" s="331" t="s">
        <v>94</v>
      </c>
      <c r="Q185" s="53">
        <f>28 * 8</f>
        <v>224</v>
      </c>
      <c r="R185" s="53">
        <f t="shared" ref="R185:V185" si="5">28 * 8</f>
        <v>224</v>
      </c>
      <c r="S185" s="53">
        <f t="shared" si="5"/>
        <v>224</v>
      </c>
      <c r="T185" s="53">
        <f t="shared" si="5"/>
        <v>224</v>
      </c>
      <c r="U185" s="53">
        <f t="shared" si="5"/>
        <v>224</v>
      </c>
      <c r="V185" s="53">
        <f t="shared" si="5"/>
        <v>224</v>
      </c>
      <c r="W185" s="345" t="str">
        <f>CHOSEN_CURRENCY</f>
        <v>USD</v>
      </c>
      <c r="X185" s="331"/>
      <c r="Y185" s="63"/>
      <c r="Z185" s="63"/>
      <c r="AA185" s="63"/>
      <c r="AB185" s="64"/>
      <c r="AC185" s="31"/>
    </row>
    <row r="186" spans="1:30" ht="15" customHeight="1" outlineLevel="1" x14ac:dyDescent="0.3">
      <c r="F186" s="78"/>
      <c r="G186" s="63">
        <v>3</v>
      </c>
      <c r="H186" s="68"/>
      <c r="I186" s="68"/>
      <c r="J186" s="63"/>
      <c r="K186" s="63"/>
      <c r="L186" s="63"/>
      <c r="M186" s="296"/>
      <c r="N186" s="100"/>
      <c r="O186" s="332"/>
      <c r="P186" s="332"/>
      <c r="Q186" s="297" t="s">
        <v>8</v>
      </c>
      <c r="R186" s="297" t="s">
        <v>9</v>
      </c>
      <c r="S186" s="297" t="s">
        <v>10</v>
      </c>
      <c r="T186" s="297" t="s">
        <v>12</v>
      </c>
      <c r="U186" s="297" t="s">
        <v>11</v>
      </c>
      <c r="V186" s="298" t="s">
        <v>13</v>
      </c>
      <c r="W186" s="346"/>
      <c r="X186" s="332"/>
      <c r="Y186" s="63"/>
      <c r="Z186" s="63"/>
      <c r="AA186" s="63"/>
      <c r="AB186" s="64"/>
      <c r="AC186" s="31"/>
    </row>
    <row r="187" spans="1:30" ht="15" customHeight="1" outlineLevel="1" x14ac:dyDescent="0.3">
      <c r="B187" s="10" t="str">
        <f t="shared" ref="B187:B192" si="6">IF(SUM(Q187:V187)&lt;&gt;1,".","")</f>
        <v/>
      </c>
      <c r="F187" s="78"/>
      <c r="G187" s="68">
        <v>4</v>
      </c>
      <c r="H187" s="68"/>
      <c r="I187" s="68"/>
      <c r="J187" s="63"/>
      <c r="K187" s="63"/>
      <c r="L187" s="67" t="s">
        <v>84</v>
      </c>
      <c r="M187" s="287" t="str">
        <f>$L$12</f>
        <v>A</v>
      </c>
      <c r="N187" s="31" t="str">
        <f>$M$12</f>
        <v>Discovery / Requirement Analysis</v>
      </c>
      <c r="O187" s="65">
        <f>S12</f>
        <v>46</v>
      </c>
      <c r="P187" s="104">
        <f>ROUND(REQ_EFFORT/5,0)</f>
        <v>9</v>
      </c>
      <c r="Q187" s="105">
        <v>0.85</v>
      </c>
      <c r="R187" s="271">
        <v>0.1</v>
      </c>
      <c r="S187" s="45"/>
      <c r="T187" s="45"/>
      <c r="U187" s="45"/>
      <c r="V187" s="46">
        <v>0.05</v>
      </c>
      <c r="W187" s="347">
        <f t="shared" ref="W187:W192" si="7">(($O187*Q187)*Q$185)+(($O187*R187)*R$185)+(($O187*S187)*S$185)+(($O187*T187)*T$185)+(($O187*U187)*U$185)+(($O187*V187)*V$185)</f>
        <v>10304</v>
      </c>
      <c r="X187" s="348"/>
      <c r="Y187" s="63"/>
      <c r="Z187" s="63"/>
      <c r="AA187" s="63"/>
      <c r="AB187" s="64"/>
      <c r="AC187" s="31"/>
    </row>
    <row r="188" spans="1:30" outlineLevel="1" x14ac:dyDescent="0.3">
      <c r="B188" s="10" t="str">
        <f t="shared" si="6"/>
        <v/>
      </c>
      <c r="F188" s="78"/>
      <c r="G188" s="63">
        <v>5</v>
      </c>
      <c r="H188" s="68"/>
      <c r="I188" s="68"/>
      <c r="J188" s="63"/>
      <c r="K188" s="63"/>
      <c r="L188" s="67" t="s">
        <v>85</v>
      </c>
      <c r="M188" s="287" t="str">
        <f>$L$32</f>
        <v>B</v>
      </c>
      <c r="N188" s="31" t="str">
        <f>$M$32</f>
        <v>System Design, Framework and Test Cases</v>
      </c>
      <c r="O188" s="65">
        <f>S32</f>
        <v>52</v>
      </c>
      <c r="P188" s="104">
        <f>ROUND(DESIGN_EFFORT/5,0)</f>
        <v>10</v>
      </c>
      <c r="Q188" s="45"/>
      <c r="R188" s="272">
        <v>0.7</v>
      </c>
      <c r="S188" s="44">
        <v>0.2</v>
      </c>
      <c r="T188" s="45"/>
      <c r="U188" s="44">
        <v>0.1</v>
      </c>
      <c r="V188" s="47"/>
      <c r="W188" s="347">
        <f t="shared" si="7"/>
        <v>11647.999999999998</v>
      </c>
      <c r="X188" s="348"/>
      <c r="Y188" s="63"/>
      <c r="Z188" s="63"/>
      <c r="AA188" s="63"/>
      <c r="AB188" s="64"/>
      <c r="AC188" s="31"/>
    </row>
    <row r="189" spans="1:30" outlineLevel="1" x14ac:dyDescent="0.3">
      <c r="B189" s="10" t="str">
        <f t="shared" si="6"/>
        <v/>
      </c>
      <c r="F189" s="78"/>
      <c r="G189" s="63">
        <v>6</v>
      </c>
      <c r="H189" s="68"/>
      <c r="I189" s="68"/>
      <c r="J189" s="63"/>
      <c r="K189" s="63"/>
      <c r="L189" s="67" t="s">
        <v>87</v>
      </c>
      <c r="M189" s="287" t="str">
        <f>$L$68</f>
        <v>C</v>
      </c>
      <c r="N189" s="31" t="str">
        <f>$M$68</f>
        <v>Development and Unit Testing</v>
      </c>
      <c r="O189" s="65">
        <f>S68</f>
        <v>33</v>
      </c>
      <c r="P189" s="104">
        <f>ROUND(DEV_EFFORT/5,0)</f>
        <v>7</v>
      </c>
      <c r="Q189" s="45"/>
      <c r="R189" s="271"/>
      <c r="S189" s="44">
        <v>0.3</v>
      </c>
      <c r="T189" s="105">
        <v>0.7</v>
      </c>
      <c r="U189" s="45"/>
      <c r="V189" s="47"/>
      <c r="W189" s="347">
        <f t="shared" si="7"/>
        <v>7392</v>
      </c>
      <c r="X189" s="348"/>
      <c r="Y189" s="63"/>
      <c r="Z189" s="63"/>
      <c r="AA189" s="63"/>
      <c r="AB189" s="64"/>
      <c r="AC189" s="31"/>
    </row>
    <row r="190" spans="1:30" outlineLevel="1" x14ac:dyDescent="0.3">
      <c r="B190" s="10" t="str">
        <f t="shared" si="6"/>
        <v/>
      </c>
      <c r="F190" s="78"/>
      <c r="G190" s="68">
        <v>7</v>
      </c>
      <c r="H190" s="68"/>
      <c r="I190" s="68"/>
      <c r="J190" s="63"/>
      <c r="K190" s="63"/>
      <c r="L190" s="67" t="s">
        <v>11</v>
      </c>
      <c r="M190" s="287" t="str">
        <f>$L$102</f>
        <v>D</v>
      </c>
      <c r="N190" s="31" t="str">
        <f>$M$102</f>
        <v>System Testing and Stabilization</v>
      </c>
      <c r="O190" s="65">
        <f>S102</f>
        <v>43</v>
      </c>
      <c r="P190" s="104">
        <f>ROUND(QA_EFFORT/5,0)</f>
        <v>9</v>
      </c>
      <c r="Q190" s="45"/>
      <c r="R190" s="271"/>
      <c r="S190" s="44">
        <v>0.1</v>
      </c>
      <c r="T190" s="44">
        <v>0.1</v>
      </c>
      <c r="U190" s="105">
        <v>0.8</v>
      </c>
      <c r="V190" s="47"/>
      <c r="W190" s="347">
        <f t="shared" si="7"/>
        <v>9632</v>
      </c>
      <c r="X190" s="348"/>
      <c r="Y190" s="63"/>
      <c r="Z190" s="63"/>
      <c r="AA190" s="63"/>
      <c r="AB190" s="64"/>
      <c r="AC190" s="31"/>
    </row>
    <row r="191" spans="1:30" outlineLevel="1" x14ac:dyDescent="0.3">
      <c r="B191" s="10" t="str">
        <f t="shared" si="6"/>
        <v/>
      </c>
      <c r="F191" s="78"/>
      <c r="G191" s="63">
        <v>8</v>
      </c>
      <c r="H191" s="68"/>
      <c r="I191" s="68"/>
      <c r="J191" s="63"/>
      <c r="K191" s="63"/>
      <c r="L191" s="67" t="s">
        <v>86</v>
      </c>
      <c r="M191" s="287" t="str">
        <f>$L$129</f>
        <v>E</v>
      </c>
      <c r="N191" s="31" t="str">
        <f>$M$129</f>
        <v>Deployment, UAT and Documentation</v>
      </c>
      <c r="O191" s="65">
        <f>S129</f>
        <v>72</v>
      </c>
      <c r="P191" s="104">
        <f>ROUND(UAT_EFFORT/5,0)</f>
        <v>14</v>
      </c>
      <c r="Q191" s="45"/>
      <c r="R191" s="271"/>
      <c r="S191" s="44">
        <v>0.4</v>
      </c>
      <c r="T191" s="105">
        <v>0.4</v>
      </c>
      <c r="U191" s="44">
        <v>0.2</v>
      </c>
      <c r="V191" s="47"/>
      <c r="W191" s="347">
        <f t="shared" si="7"/>
        <v>16128</v>
      </c>
      <c r="X191" s="348"/>
      <c r="Y191" s="63"/>
      <c r="Z191" s="63"/>
      <c r="AA191" s="63"/>
      <c r="AB191" s="64"/>
      <c r="AC191" s="31"/>
    </row>
    <row r="192" spans="1:30" outlineLevel="1" x14ac:dyDescent="0.3">
      <c r="B192" s="10" t="str">
        <f t="shared" si="6"/>
        <v/>
      </c>
      <c r="F192" s="78"/>
      <c r="G192" s="63">
        <v>9</v>
      </c>
      <c r="H192" s="68"/>
      <c r="I192" s="68"/>
      <c r="J192" s="63"/>
      <c r="K192" s="63"/>
      <c r="L192" s="67" t="s">
        <v>76</v>
      </c>
      <c r="M192" s="287" t="str">
        <f>$L$152</f>
        <v>F</v>
      </c>
      <c r="N192" s="31" t="str">
        <f>$M$152</f>
        <v>Others</v>
      </c>
      <c r="O192" s="65">
        <f>S152</f>
        <v>25</v>
      </c>
      <c r="P192" s="104">
        <f>ROUND(OTHER_EFFORT/5,0)</f>
        <v>5</v>
      </c>
      <c r="Q192" s="45"/>
      <c r="R192" s="271">
        <v>0.2</v>
      </c>
      <c r="S192" s="105">
        <v>0.8</v>
      </c>
      <c r="T192" s="45"/>
      <c r="U192" s="45"/>
      <c r="V192" s="47"/>
      <c r="W192" s="349">
        <f t="shared" si="7"/>
        <v>5600</v>
      </c>
      <c r="X192" s="350"/>
      <c r="Y192" s="63"/>
      <c r="Z192" s="63"/>
      <c r="AA192" s="63"/>
      <c r="AB192" s="64"/>
      <c r="AC192" s="31"/>
    </row>
    <row r="193" spans="1:30" ht="21" outlineLevel="1" x14ac:dyDescent="0.3">
      <c r="F193" s="78"/>
      <c r="G193" s="68">
        <v>10</v>
      </c>
      <c r="H193" s="68"/>
      <c r="I193" s="68"/>
      <c r="J193" s="63"/>
      <c r="K193" s="63"/>
      <c r="L193" s="63"/>
      <c r="M193" s="296"/>
      <c r="N193" s="100"/>
      <c r="O193" s="263">
        <f>SUM(O187:O192)</f>
        <v>271</v>
      </c>
      <c r="P193" s="264">
        <f>SUM(P187:P192)</f>
        <v>54</v>
      </c>
      <c r="Q193" s="352" t="s">
        <v>116</v>
      </c>
      <c r="R193" s="352"/>
      <c r="S193" s="352"/>
      <c r="T193" s="352"/>
      <c r="U193" s="352"/>
      <c r="V193" s="352"/>
      <c r="W193" s="351">
        <f>SUM(W187:W192)</f>
        <v>60704</v>
      </c>
      <c r="X193" s="351"/>
      <c r="Y193" s="63"/>
      <c r="Z193" s="63"/>
      <c r="AA193" s="63"/>
      <c r="AB193" s="64"/>
      <c r="AC193" s="31"/>
    </row>
    <row r="194" spans="1:30" outlineLevel="1" x14ac:dyDescent="0.3">
      <c r="F194" s="78"/>
      <c r="G194" s="63"/>
      <c r="H194" s="63"/>
      <c r="I194" s="63"/>
      <c r="J194" s="63"/>
      <c r="K194" s="63"/>
      <c r="L194" s="63"/>
      <c r="M194" s="296"/>
      <c r="N194" s="64"/>
      <c r="O194" s="64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4"/>
      <c r="AC194" s="31"/>
    </row>
    <row r="195" spans="1:30" ht="15" customHeight="1" outlineLevel="1" x14ac:dyDescent="0.3">
      <c r="F195" s="78"/>
      <c r="G195" s="63"/>
      <c r="H195" s="63"/>
      <c r="I195" s="63"/>
      <c r="J195" s="63"/>
      <c r="K195" s="63"/>
      <c r="L195" s="63"/>
      <c r="M195" s="296"/>
      <c r="N195" s="64"/>
      <c r="O195" s="64"/>
      <c r="P195" s="63"/>
      <c r="Q195" s="330" t="s">
        <v>114</v>
      </c>
      <c r="R195" s="330"/>
      <c r="S195" s="330"/>
      <c r="T195" s="330"/>
      <c r="U195" s="330"/>
      <c r="V195" s="330"/>
      <c r="W195" s="353" t="s">
        <v>456</v>
      </c>
      <c r="X195" s="353"/>
      <c r="Y195" s="223"/>
      <c r="Z195" s="223"/>
      <c r="AA195" s="223"/>
      <c r="AB195" s="64"/>
      <c r="AC195" s="31"/>
    </row>
    <row r="196" spans="1:30" ht="15" customHeight="1" outlineLevel="1" x14ac:dyDescent="0.3">
      <c r="F196" s="78"/>
      <c r="G196" s="63"/>
      <c r="H196" s="63"/>
      <c r="I196" s="63"/>
      <c r="J196" s="63"/>
      <c r="K196" s="63"/>
      <c r="L196" s="63"/>
      <c r="M196" s="287"/>
      <c r="N196" s="31"/>
      <c r="O196" s="107" t="s">
        <v>112</v>
      </c>
      <c r="P196" s="108" t="s">
        <v>113</v>
      </c>
      <c r="Q196" s="297" t="s">
        <v>8</v>
      </c>
      <c r="R196" s="297" t="s">
        <v>9</v>
      </c>
      <c r="S196" s="297" t="s">
        <v>10</v>
      </c>
      <c r="T196" s="297" t="s">
        <v>12</v>
      </c>
      <c r="U196" s="297" t="s">
        <v>11</v>
      </c>
      <c r="V196" s="298" t="s">
        <v>13</v>
      </c>
      <c r="W196" s="353"/>
      <c r="X196" s="353"/>
      <c r="Y196" s="63"/>
      <c r="Z196" s="102"/>
      <c r="AA196" s="102"/>
      <c r="AB196" s="102"/>
      <c r="AC196" s="102"/>
    </row>
    <row r="197" spans="1:30" ht="15" customHeight="1" outlineLevel="1" x14ac:dyDescent="0.3">
      <c r="F197" s="78"/>
      <c r="G197" s="63"/>
      <c r="H197" s="63"/>
      <c r="I197" s="63"/>
      <c r="J197" s="63"/>
      <c r="K197" s="63"/>
      <c r="L197" s="63"/>
      <c r="M197" s="287" t="str">
        <f>$L$12</f>
        <v>A</v>
      </c>
      <c r="N197" s="31" t="str">
        <f>$M$12</f>
        <v>Discovery / Requirement Analysis</v>
      </c>
      <c r="O197" s="112">
        <v>43043</v>
      </c>
      <c r="P197" s="109">
        <f>O197+(((P187*REQ_BA_PERCENT)/REQ_BA_COUNT)*7)</f>
        <v>43096.55</v>
      </c>
      <c r="Q197" s="106">
        <v>1</v>
      </c>
      <c r="R197" s="224">
        <v>1</v>
      </c>
      <c r="S197" s="101"/>
      <c r="T197" s="101"/>
      <c r="U197" s="101"/>
      <c r="V197" s="54">
        <v>1</v>
      </c>
      <c r="W197" s="261">
        <v>0.75</v>
      </c>
      <c r="X197" s="63"/>
      <c r="Y197" s="343" t="s">
        <v>194</v>
      </c>
      <c r="Z197" s="343"/>
      <c r="AA197" s="343"/>
      <c r="AB197" s="64"/>
      <c r="AC197" s="103"/>
    </row>
    <row r="198" spans="1:30" outlineLevel="1" x14ac:dyDescent="0.3">
      <c r="F198" s="78"/>
      <c r="G198" s="63"/>
      <c r="H198" s="63"/>
      <c r="I198" s="63"/>
      <c r="J198" s="63"/>
      <c r="K198" s="63"/>
      <c r="L198" s="63"/>
      <c r="M198" s="287" t="str">
        <f>$L$32</f>
        <v>B</v>
      </c>
      <c r="N198" s="31" t="str">
        <f>$M$32</f>
        <v>System Design, Framework and Test Cases</v>
      </c>
      <c r="O198" s="110">
        <f>O197+((P197-O197)*W197)+1</f>
        <v>43084.162500000006</v>
      </c>
      <c r="P198" s="109">
        <f>O198+(((P188*DESIGN_TA_PERCENT)/DESIGN_TA_COUNT)*7)</f>
        <v>43108.662500000006</v>
      </c>
      <c r="Q198" s="101"/>
      <c r="R198" s="225">
        <v>2</v>
      </c>
      <c r="S198" s="101">
        <v>1</v>
      </c>
      <c r="T198" s="101"/>
      <c r="U198" s="101">
        <v>1</v>
      </c>
      <c r="V198" s="54"/>
      <c r="W198" s="262">
        <v>0.75</v>
      </c>
      <c r="X198" s="63"/>
      <c r="Y198" s="343"/>
      <c r="Z198" s="343"/>
      <c r="AA198" s="343"/>
      <c r="AB198" s="64"/>
      <c r="AC198" s="31"/>
    </row>
    <row r="199" spans="1:30" outlineLevel="1" x14ac:dyDescent="0.3">
      <c r="F199" s="78"/>
      <c r="G199" s="63"/>
      <c r="H199" s="63"/>
      <c r="I199" s="63"/>
      <c r="J199" s="63"/>
      <c r="K199" s="63"/>
      <c r="L199" s="63"/>
      <c r="M199" s="287" t="str">
        <f>$L$68</f>
        <v>C</v>
      </c>
      <c r="N199" s="31" t="str">
        <f>$M$68</f>
        <v>Development and Unit Testing</v>
      </c>
      <c r="O199" s="110">
        <f>O198+((P198-O198)*W198)+1</f>
        <v>43103.537500000006</v>
      </c>
      <c r="P199" s="109">
        <f>O199+(((P189*DEV_DEV_PERCENT)/DEV_DEV_COUNT)*7)</f>
        <v>43120.687500000007</v>
      </c>
      <c r="Q199" s="101"/>
      <c r="R199" s="224"/>
      <c r="S199" s="101">
        <v>1</v>
      </c>
      <c r="T199" s="106">
        <v>2</v>
      </c>
      <c r="U199" s="101"/>
      <c r="V199" s="54"/>
      <c r="W199" s="261">
        <v>0.75</v>
      </c>
      <c r="X199" s="63"/>
      <c r="Y199" s="343"/>
      <c r="Z199" s="343"/>
      <c r="AA199" s="343"/>
      <c r="AB199" s="64"/>
      <c r="AC199" s="31"/>
    </row>
    <row r="200" spans="1:30" outlineLevel="1" x14ac:dyDescent="0.3">
      <c r="F200" s="78"/>
      <c r="G200" s="63"/>
      <c r="H200" s="63"/>
      <c r="I200" s="63"/>
      <c r="J200" s="63"/>
      <c r="K200" s="63"/>
      <c r="L200" s="63"/>
      <c r="M200" s="287" t="str">
        <f>$L$102</f>
        <v>D</v>
      </c>
      <c r="N200" s="31" t="str">
        <f>$M$102</f>
        <v>System Testing and Stabilization</v>
      </c>
      <c r="O200" s="110">
        <f>O199+((P199-O199)*W199)+1</f>
        <v>43117.400000000009</v>
      </c>
      <c r="P200" s="109">
        <f>O200+(((P190*TESTING_QA_PERCENT)/TESTING_QA_COUNT)*7)</f>
        <v>43167.80000000001</v>
      </c>
      <c r="Q200" s="101"/>
      <c r="R200" s="224"/>
      <c r="S200" s="101">
        <v>1</v>
      </c>
      <c r="T200" s="101">
        <v>2</v>
      </c>
      <c r="U200" s="106">
        <v>1</v>
      </c>
      <c r="V200" s="258"/>
      <c r="W200" s="261">
        <v>1</v>
      </c>
      <c r="X200" s="63"/>
      <c r="Y200" s="343"/>
      <c r="Z200" s="343"/>
      <c r="AA200" s="343"/>
      <c r="AB200" s="64"/>
      <c r="AC200" s="31"/>
    </row>
    <row r="201" spans="1:30" outlineLevel="1" x14ac:dyDescent="0.3">
      <c r="F201" s="78"/>
      <c r="G201" s="63"/>
      <c r="H201" s="63"/>
      <c r="I201" s="63"/>
      <c r="J201" s="63"/>
      <c r="K201" s="63"/>
      <c r="L201" s="63"/>
      <c r="M201" s="287" t="str">
        <f>$L$129</f>
        <v>E</v>
      </c>
      <c r="N201" s="31" t="str">
        <f>$M$129</f>
        <v>Deployment, UAT and Documentation</v>
      </c>
      <c r="O201" s="110">
        <f>O200+((P200-O200)*W200)+1</f>
        <v>43168.80000000001</v>
      </c>
      <c r="P201" s="109">
        <f>O201+(((P191*UAT_DEV_PERCENT)/UAT_DEV_COUNT)*7)</f>
        <v>43188.400000000009</v>
      </c>
      <c r="Q201" s="101"/>
      <c r="R201" s="224"/>
      <c r="S201" s="101">
        <v>1</v>
      </c>
      <c r="T201" s="106">
        <v>2</v>
      </c>
      <c r="U201" s="101">
        <v>1</v>
      </c>
      <c r="V201" s="54"/>
      <c r="W201" s="261">
        <v>1</v>
      </c>
      <c r="X201" s="63"/>
      <c r="Y201" s="343"/>
      <c r="Z201" s="343"/>
      <c r="AA201" s="343"/>
      <c r="AB201" s="64"/>
      <c r="AC201" s="31"/>
    </row>
    <row r="202" spans="1:30" outlineLevel="1" x14ac:dyDescent="0.3">
      <c r="F202" s="78"/>
      <c r="G202" s="63"/>
      <c r="H202" s="63"/>
      <c r="I202" s="63"/>
      <c r="J202" s="63"/>
      <c r="K202" s="63"/>
      <c r="L202" s="63"/>
      <c r="M202" s="287" t="str">
        <f>$L$152</f>
        <v>F</v>
      </c>
      <c r="N202" s="31" t="str">
        <f>$M$152</f>
        <v>Others</v>
      </c>
      <c r="O202" s="111">
        <f>O201+((P201-O201)*W201)+1</f>
        <v>43189.400000000009</v>
      </c>
      <c r="P202" s="118">
        <f>O202+(((P192*OTHER_TL_PERCENT)/OTHER_TL_COUNT)*7)</f>
        <v>43217.400000000009</v>
      </c>
      <c r="Q202" s="119"/>
      <c r="R202" s="226">
        <v>0.5</v>
      </c>
      <c r="S202" s="120">
        <v>1</v>
      </c>
      <c r="T202" s="119"/>
      <c r="U202" s="119"/>
      <c r="V202" s="121"/>
      <c r="W202" s="259"/>
      <c r="X202" s="63"/>
      <c r="Y202" s="63"/>
      <c r="Z202" s="63"/>
      <c r="AA202" s="63"/>
      <c r="AB202" s="64"/>
      <c r="AC202" s="31"/>
    </row>
    <row r="203" spans="1:30" ht="15.6" outlineLevel="1" x14ac:dyDescent="0.3">
      <c r="F203" s="78"/>
      <c r="G203" s="63">
        <v>1</v>
      </c>
      <c r="H203" s="63"/>
      <c r="I203" s="63"/>
      <c r="J203" s="63"/>
      <c r="K203" s="63"/>
      <c r="L203" s="28"/>
      <c r="M203" s="287"/>
      <c r="N203" s="28"/>
      <c r="O203" s="115" t="s">
        <v>118</v>
      </c>
      <c r="P203" s="124">
        <f>NETWORKDAYS(START_DATE,AUTOMATED_END_DATE)/5</f>
        <v>25</v>
      </c>
      <c r="Q203" s="123" t="s">
        <v>94</v>
      </c>
      <c r="R203" s="122"/>
      <c r="S203" s="117" t="s">
        <v>117</v>
      </c>
      <c r="T203" s="323">
        <f>AUTOMATED_END_DATE</f>
        <v>43217.400000000009</v>
      </c>
      <c r="U203" s="323"/>
      <c r="V203" s="260"/>
      <c r="W203" s="260"/>
      <c r="X203" s="260"/>
      <c r="Y203" s="28"/>
      <c r="Z203" s="28"/>
      <c r="AA203" s="28"/>
      <c r="AB203" s="31"/>
      <c r="AC203" s="31"/>
    </row>
    <row r="204" spans="1:30" ht="15.6" outlineLevel="1" x14ac:dyDescent="0.3">
      <c r="F204" s="78"/>
      <c r="G204" s="63">
        <v>2</v>
      </c>
      <c r="H204" s="63"/>
      <c r="I204" s="63"/>
      <c r="J204" s="63"/>
      <c r="K204" s="63"/>
      <c r="L204" s="28"/>
      <c r="M204" s="287"/>
      <c r="N204" s="28"/>
      <c r="O204" s="115" t="s">
        <v>119</v>
      </c>
      <c r="P204" s="124">
        <f>NETWORKDAYS(START_DATE,MANUAL_END_DATE)/5</f>
        <v>52.2</v>
      </c>
      <c r="Q204" s="123" t="s">
        <v>94</v>
      </c>
      <c r="R204" s="116"/>
      <c r="S204" s="117" t="s">
        <v>117</v>
      </c>
      <c r="T204" s="323">
        <f>MANUAL_END_DATE</f>
        <v>43409</v>
      </c>
      <c r="U204" s="323"/>
      <c r="V204" s="260"/>
      <c r="W204" s="260"/>
      <c r="X204" s="260"/>
      <c r="Y204" s="28"/>
      <c r="Z204" s="28"/>
      <c r="AA204" s="28"/>
      <c r="AB204" s="31"/>
      <c r="AC204" s="31"/>
    </row>
    <row r="205" spans="1:30" ht="15" customHeight="1" outlineLevel="1" x14ac:dyDescent="0.3">
      <c r="F205" s="78"/>
      <c r="G205" s="63"/>
      <c r="H205" s="63"/>
      <c r="I205" s="63"/>
      <c r="J205" s="63"/>
      <c r="K205" s="63"/>
      <c r="L205" s="28"/>
      <c r="M205" s="287"/>
      <c r="N205" s="28"/>
      <c r="O205" s="113"/>
      <c r="P205" s="66"/>
      <c r="Q205" s="114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31"/>
      <c r="AC205" s="31"/>
    </row>
    <row r="206" spans="1:30" outlineLevel="1" x14ac:dyDescent="0.3">
      <c r="F206" s="78"/>
      <c r="G206" s="63">
        <v>3</v>
      </c>
      <c r="H206" s="63"/>
      <c r="I206" s="63"/>
      <c r="J206" s="63"/>
      <c r="K206" s="63"/>
      <c r="L206" s="28"/>
      <c r="M206" s="287"/>
      <c r="N206" s="31"/>
      <c r="O206" s="31"/>
      <c r="P206" s="28"/>
      <c r="Q206" s="28"/>
      <c r="R206" s="28"/>
      <c r="S206" s="75" t="s">
        <v>115</v>
      </c>
      <c r="T206" s="76" t="s">
        <v>92</v>
      </c>
      <c r="U206" s="28"/>
      <c r="V206" s="28"/>
      <c r="W206" s="28"/>
      <c r="X206" s="28"/>
      <c r="Y206" s="28"/>
      <c r="Z206" s="28"/>
      <c r="AA206" s="28"/>
      <c r="AB206" s="31"/>
      <c r="AC206" s="31"/>
    </row>
    <row r="207" spans="1:30" outlineLevel="1" x14ac:dyDescent="0.3">
      <c r="F207" s="78"/>
      <c r="G207" s="63"/>
      <c r="H207" s="63"/>
      <c r="I207" s="63"/>
      <c r="J207" s="63"/>
      <c r="K207" s="63"/>
      <c r="L207" s="28"/>
      <c r="M207" s="287"/>
      <c r="N207" s="31"/>
      <c r="O207" s="31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31"/>
      <c r="AC207" s="31"/>
    </row>
    <row r="208" spans="1:30" s="11" customFormat="1" ht="20.25" customHeight="1" outlineLevel="1" x14ac:dyDescent="0.3">
      <c r="A208" s="93"/>
      <c r="B208" s="10"/>
      <c r="C208" s="78"/>
      <c r="D208" s="78"/>
      <c r="E208" s="78"/>
      <c r="F208" s="78"/>
      <c r="G208" s="43"/>
      <c r="H208" s="43"/>
      <c r="I208" s="43"/>
      <c r="J208" s="43"/>
      <c r="K208" s="43"/>
      <c r="L208" s="43"/>
      <c r="M208" s="28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12"/>
    </row>
    <row r="209" spans="1:30" s="11" customFormat="1" x14ac:dyDescent="0.3">
      <c r="A209" s="93"/>
      <c r="B209" s="10"/>
      <c r="C209" s="80"/>
      <c r="D209" s="80"/>
      <c r="E209" s="80"/>
      <c r="F209" s="78"/>
      <c r="M209" s="277"/>
      <c r="N209" s="12"/>
      <c r="O209" s="12"/>
      <c r="AB209" s="12"/>
      <c r="AC209" s="12"/>
      <c r="AD209" s="12"/>
    </row>
    <row r="210" spans="1:30" s="11" customFormat="1" ht="20.25" customHeight="1" collapsed="1" x14ac:dyDescent="0.3">
      <c r="A210" s="93"/>
      <c r="B210" s="10"/>
      <c r="C210" s="78"/>
      <c r="D210" s="78"/>
      <c r="E210" s="78"/>
      <c r="F210" s="78"/>
      <c r="G210" s="328" t="s">
        <v>48</v>
      </c>
      <c r="H210" s="328"/>
      <c r="I210" s="178"/>
      <c r="J210" s="43"/>
      <c r="K210" s="43"/>
      <c r="L210" s="39"/>
      <c r="M210" s="291" t="s">
        <v>185</v>
      </c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220" t="str">
        <f>TEMPLATE_NAME&amp;" "&amp;TEMPLATE_VER</f>
        <v>AG Estimation Template -  Version 2.0.1</v>
      </c>
      <c r="AC210" s="39"/>
      <c r="AD210" s="12"/>
    </row>
    <row r="211" spans="1:30" s="11" customFormat="1" hidden="1" outlineLevel="1" x14ac:dyDescent="0.3">
      <c r="A211" s="93"/>
      <c r="B211" s="10"/>
      <c r="C211" s="80"/>
      <c r="D211" s="80"/>
      <c r="E211" s="80"/>
      <c r="F211" s="78"/>
      <c r="G211" s="28"/>
      <c r="H211" s="28"/>
      <c r="I211" s="28"/>
      <c r="J211" s="28"/>
      <c r="K211" s="28"/>
      <c r="L211" s="28"/>
      <c r="M211" s="287"/>
      <c r="N211" s="31"/>
      <c r="O211" s="31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31"/>
      <c r="AC211" s="31"/>
      <c r="AD211" s="12"/>
    </row>
    <row r="212" spans="1:30" s="11" customFormat="1" ht="15" hidden="1" customHeight="1" outlineLevel="1" x14ac:dyDescent="0.3">
      <c r="A212" s="93"/>
      <c r="B212" s="10"/>
      <c r="C212" s="80"/>
      <c r="D212" s="80"/>
      <c r="E212" s="80"/>
      <c r="F212" s="78"/>
      <c r="G212" s="28"/>
      <c r="H212" s="28"/>
      <c r="I212" s="28"/>
      <c r="J212" s="28"/>
      <c r="K212" s="28"/>
      <c r="L212" s="28"/>
      <c r="M212" s="287"/>
      <c r="N212" s="142" t="s">
        <v>130</v>
      </c>
      <c r="O212" s="31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31"/>
      <c r="AC212" s="31"/>
      <c r="AD212" s="12"/>
    </row>
    <row r="213" spans="1:30" s="11" customFormat="1" ht="14.25" hidden="1" customHeight="1" outlineLevel="1" x14ac:dyDescent="0.3">
      <c r="A213" s="93"/>
      <c r="B213" s="10"/>
      <c r="C213" s="78"/>
      <c r="D213" s="78"/>
      <c r="E213" s="78"/>
      <c r="F213" s="78"/>
      <c r="G213" s="28"/>
      <c r="H213" s="28"/>
      <c r="I213" s="28"/>
      <c r="J213" s="28"/>
      <c r="K213" s="28"/>
      <c r="L213" s="28"/>
      <c r="M213" s="287"/>
      <c r="N213" s="157" t="s">
        <v>5</v>
      </c>
      <c r="O213" s="155" t="s">
        <v>552</v>
      </c>
      <c r="P213" s="187"/>
      <c r="Q213" s="187"/>
      <c r="R213" s="188"/>
      <c r="S213" s="189"/>
      <c r="T213" s="187"/>
      <c r="U213" s="187"/>
      <c r="V213" s="187"/>
      <c r="W213" s="187"/>
      <c r="X213" s="28"/>
      <c r="Y213" s="28"/>
      <c r="Z213" s="28"/>
      <c r="AA213" s="28"/>
      <c r="AB213" s="28"/>
      <c r="AC213" s="31"/>
      <c r="AD213" s="12"/>
    </row>
    <row r="214" spans="1:30" s="11" customFormat="1" ht="14.25" hidden="1" customHeight="1" outlineLevel="1" x14ac:dyDescent="0.3">
      <c r="A214" s="93"/>
      <c r="B214" s="10"/>
      <c r="C214" s="78"/>
      <c r="D214" s="78"/>
      <c r="E214" s="78"/>
      <c r="F214" s="78"/>
      <c r="G214" s="28"/>
      <c r="H214" s="28"/>
      <c r="I214" s="28"/>
      <c r="J214" s="28"/>
      <c r="K214" s="28"/>
      <c r="L214" s="28"/>
      <c r="M214" s="287"/>
      <c r="N214" s="157" t="s">
        <v>30</v>
      </c>
      <c r="O214" s="156" t="s">
        <v>553</v>
      </c>
      <c r="P214" s="187"/>
      <c r="Q214" s="187"/>
      <c r="R214" s="189"/>
      <c r="S214" s="189"/>
      <c r="T214" s="187"/>
      <c r="U214" s="187"/>
      <c r="V214" s="187"/>
      <c r="W214" s="187"/>
      <c r="X214" s="28"/>
      <c r="Y214" s="28"/>
      <c r="Z214" s="28"/>
      <c r="AA214" s="28"/>
      <c r="AB214" s="28"/>
      <c r="AC214" s="31"/>
      <c r="AD214" s="12"/>
    </row>
    <row r="215" spans="1:30" s="11" customFormat="1" ht="14.25" hidden="1" customHeight="1" outlineLevel="1" x14ac:dyDescent="0.3">
      <c r="A215" s="93"/>
      <c r="B215" s="10"/>
      <c r="C215" s="78"/>
      <c r="D215" s="78"/>
      <c r="E215" s="78"/>
      <c r="F215" s="78"/>
      <c r="G215" s="28"/>
      <c r="H215" s="28"/>
      <c r="I215" s="28"/>
      <c r="J215" s="28"/>
      <c r="K215" s="28"/>
      <c r="L215" s="28"/>
      <c r="M215" s="287"/>
      <c r="N215" s="157" t="s">
        <v>36</v>
      </c>
      <c r="O215" s="156" t="s">
        <v>38</v>
      </c>
      <c r="P215" s="187"/>
      <c r="Q215" s="187"/>
      <c r="R215" s="189"/>
      <c r="S215" s="140"/>
      <c r="T215" s="140"/>
      <c r="U215" s="140"/>
      <c r="V215" s="187"/>
      <c r="W215" s="187"/>
      <c r="X215" s="28"/>
      <c r="Y215" s="28"/>
      <c r="Z215" s="28"/>
      <c r="AA215" s="28"/>
      <c r="AB215" s="28"/>
      <c r="AC215" s="31"/>
      <c r="AD215" s="12"/>
    </row>
    <row r="216" spans="1:30" s="11" customFormat="1" ht="14.25" hidden="1" customHeight="1" outlineLevel="1" x14ac:dyDescent="0.3">
      <c r="A216" s="93"/>
      <c r="B216" s="10"/>
      <c r="C216" s="78"/>
      <c r="D216" s="78"/>
      <c r="E216" s="78"/>
      <c r="F216" s="78"/>
      <c r="G216" s="28"/>
      <c r="H216" s="28"/>
      <c r="I216" s="28"/>
      <c r="J216" s="28"/>
      <c r="K216" s="28"/>
      <c r="L216" s="28"/>
      <c r="M216" s="287"/>
      <c r="N216" s="157" t="s">
        <v>31</v>
      </c>
      <c r="O216" s="156" t="s">
        <v>32</v>
      </c>
      <c r="P216" s="187"/>
      <c r="Q216" s="187"/>
      <c r="R216" s="189"/>
      <c r="S216" s="140"/>
      <c r="T216" s="140"/>
      <c r="U216" s="140"/>
      <c r="V216" s="187"/>
      <c r="W216" s="187"/>
      <c r="X216" s="28"/>
      <c r="Y216" s="28"/>
      <c r="Z216" s="28"/>
      <c r="AA216" s="28"/>
      <c r="AB216" s="28"/>
      <c r="AC216" s="31"/>
      <c r="AD216" s="12"/>
    </row>
    <row r="217" spans="1:30" s="11" customFormat="1" ht="14.25" hidden="1" customHeight="1" outlineLevel="1" x14ac:dyDescent="0.3">
      <c r="A217" s="93"/>
      <c r="B217" s="10"/>
      <c r="C217" s="78"/>
      <c r="D217" s="78"/>
      <c r="E217" s="78"/>
      <c r="F217" s="78"/>
      <c r="G217" s="28"/>
      <c r="H217" s="28"/>
      <c r="I217" s="28"/>
      <c r="J217" s="28"/>
      <c r="K217" s="28"/>
      <c r="L217" s="28"/>
      <c r="M217" s="287"/>
      <c r="N217" s="157" t="s">
        <v>56</v>
      </c>
      <c r="O217" s="156" t="s">
        <v>56</v>
      </c>
      <c r="P217" s="187"/>
      <c r="Q217" s="187"/>
      <c r="R217" s="189"/>
      <c r="S217" s="140"/>
      <c r="T217" s="140"/>
      <c r="U217" s="140"/>
      <c r="V217" s="187"/>
      <c r="W217" s="187"/>
      <c r="X217" s="28"/>
      <c r="Y217" s="28"/>
      <c r="Z217" s="28"/>
      <c r="AA217" s="28"/>
      <c r="AB217" s="28"/>
      <c r="AC217" s="31"/>
      <c r="AD217" s="12"/>
    </row>
    <row r="218" spans="1:30" s="11" customFormat="1" ht="14.25" hidden="1" customHeight="1" outlineLevel="1" x14ac:dyDescent="0.3">
      <c r="A218" s="93"/>
      <c r="B218" s="10"/>
      <c r="C218" s="78"/>
      <c r="D218" s="78"/>
      <c r="E218" s="78"/>
      <c r="F218" s="78"/>
      <c r="G218" s="28"/>
      <c r="H218" s="28"/>
      <c r="I218" s="28"/>
      <c r="J218" s="28"/>
      <c r="K218" s="28"/>
      <c r="L218" s="28"/>
      <c r="M218" s="287"/>
      <c r="N218" s="157" t="s">
        <v>67</v>
      </c>
      <c r="O218" s="156" t="s">
        <v>23</v>
      </c>
      <c r="P218" s="187"/>
      <c r="Q218" s="187"/>
      <c r="R218" s="155"/>
      <c r="S218" s="140"/>
      <c r="T218" s="140"/>
      <c r="U218" s="140"/>
      <c r="V218" s="187"/>
      <c r="W218" s="187"/>
      <c r="X218" s="28"/>
      <c r="Y218" s="28"/>
      <c r="Z218" s="28"/>
      <c r="AA218" s="28"/>
      <c r="AB218" s="28"/>
      <c r="AC218" s="31"/>
      <c r="AD218" s="12"/>
    </row>
    <row r="219" spans="1:30" s="11" customFormat="1" ht="14.25" hidden="1" customHeight="1" outlineLevel="1" x14ac:dyDescent="0.3">
      <c r="A219" s="93"/>
      <c r="B219" s="10"/>
      <c r="C219" s="78"/>
      <c r="D219" s="78"/>
      <c r="E219" s="78"/>
      <c r="F219" s="78"/>
      <c r="G219" s="28"/>
      <c r="H219" s="28"/>
      <c r="I219" s="28"/>
      <c r="J219" s="28"/>
      <c r="K219" s="28"/>
      <c r="L219" s="28"/>
      <c r="M219" s="287"/>
      <c r="N219" s="157" t="s">
        <v>4</v>
      </c>
      <c r="O219" s="155" t="s">
        <v>18</v>
      </c>
      <c r="P219" s="187"/>
      <c r="Q219" s="187"/>
      <c r="R219" s="187"/>
      <c r="S219" s="140"/>
      <c r="T219" s="140"/>
      <c r="U219" s="140"/>
      <c r="V219" s="187"/>
      <c r="W219" s="187"/>
      <c r="X219" s="28"/>
      <c r="Y219" s="28"/>
      <c r="Z219" s="28"/>
      <c r="AA219" s="28"/>
      <c r="AB219" s="28"/>
      <c r="AC219" s="31"/>
      <c r="AD219" s="12"/>
    </row>
    <row r="220" spans="1:30" s="11" customFormat="1" ht="14.25" hidden="1" customHeight="1" outlineLevel="1" x14ac:dyDescent="0.3">
      <c r="A220" s="93"/>
      <c r="B220" s="10"/>
      <c r="C220" s="78"/>
      <c r="D220" s="78"/>
      <c r="E220" s="78"/>
      <c r="F220" s="78"/>
      <c r="G220" s="28"/>
      <c r="H220" s="28"/>
      <c r="I220" s="28"/>
      <c r="J220" s="28"/>
      <c r="K220" s="28"/>
      <c r="L220" s="28"/>
      <c r="M220" s="287"/>
      <c r="N220" s="157" t="s">
        <v>26</v>
      </c>
      <c r="O220" s="155" t="s">
        <v>25</v>
      </c>
      <c r="P220" s="187"/>
      <c r="Q220" s="187"/>
      <c r="R220" s="187"/>
      <c r="S220" s="140"/>
      <c r="T220" s="140"/>
      <c r="U220" s="140"/>
      <c r="V220" s="187"/>
      <c r="W220" s="187"/>
      <c r="X220" s="28"/>
      <c r="Y220" s="28"/>
      <c r="Z220" s="28"/>
      <c r="AA220" s="28"/>
      <c r="AB220" s="28"/>
      <c r="AC220" s="31"/>
      <c r="AD220" s="12"/>
    </row>
    <row r="221" spans="1:30" s="11" customFormat="1" ht="14.25" hidden="1" customHeight="1" outlineLevel="1" x14ac:dyDescent="0.3">
      <c r="A221" s="93"/>
      <c r="B221" s="10"/>
      <c r="C221" s="78"/>
      <c r="D221" s="78"/>
      <c r="E221" s="78"/>
      <c r="F221" s="78"/>
      <c r="G221" s="28"/>
      <c r="H221" s="28"/>
      <c r="I221" s="28"/>
      <c r="J221" s="28"/>
      <c r="K221" s="28"/>
      <c r="L221" s="28"/>
      <c r="M221" s="287"/>
      <c r="N221" s="157"/>
      <c r="O221" s="28"/>
      <c r="P221" s="28"/>
      <c r="Q221" s="28"/>
      <c r="R221" s="28"/>
      <c r="S221" s="139"/>
      <c r="T221" s="139"/>
      <c r="U221" s="139"/>
      <c r="V221" s="139"/>
      <c r="W221" s="139"/>
      <c r="X221" s="28"/>
      <c r="Y221" s="28"/>
      <c r="Z221" s="28"/>
      <c r="AA221" s="28"/>
      <c r="AB221" s="139"/>
      <c r="AC221" s="31"/>
      <c r="AD221" s="12"/>
    </row>
    <row r="222" spans="1:30" s="11" customFormat="1" ht="15" hidden="1" customHeight="1" outlineLevel="1" x14ac:dyDescent="0.3">
      <c r="A222" s="93"/>
      <c r="B222" s="10"/>
      <c r="C222" s="80"/>
      <c r="D222" s="80"/>
      <c r="E222" s="80"/>
      <c r="F222" s="78"/>
      <c r="G222" s="28"/>
      <c r="H222" s="28"/>
      <c r="I222" s="28"/>
      <c r="J222" s="28"/>
      <c r="K222" s="28"/>
      <c r="L222" s="28"/>
      <c r="M222" s="287"/>
      <c r="N222" s="334" t="str">
        <f>"Total effort is "&amp;TEXT(TOTAL_EFFORT,"##,##,###")&amp;" PDs. How much up or down it can safely be without being way off?"</f>
        <v>Total effort is 271 PDs. How much up or down it can safely be without being way off?</v>
      </c>
      <c r="O222" s="142" t="s">
        <v>128</v>
      </c>
      <c r="P222" s="142" t="s">
        <v>129</v>
      </c>
      <c r="Q222" s="28"/>
      <c r="R222" s="28"/>
      <c r="S222" s="139"/>
      <c r="T222" s="139"/>
      <c r="U222" s="139"/>
      <c r="V222" s="139"/>
      <c r="W222" s="139"/>
      <c r="X222" s="28"/>
      <c r="Y222" s="28"/>
      <c r="Z222" s="28"/>
      <c r="AA222" s="28"/>
      <c r="AB222" s="31"/>
      <c r="AC222" s="31"/>
      <c r="AD222" s="12"/>
    </row>
    <row r="223" spans="1:30" s="11" customFormat="1" ht="15" hidden="1" customHeight="1" outlineLevel="1" x14ac:dyDescent="0.3">
      <c r="A223" s="93"/>
      <c r="B223" s="10"/>
      <c r="C223" s="80"/>
      <c r="D223" s="80"/>
      <c r="E223" s="80"/>
      <c r="F223" s="78"/>
      <c r="G223" s="28"/>
      <c r="H223" s="28"/>
      <c r="I223" s="28"/>
      <c r="J223" s="28"/>
      <c r="K223" s="28"/>
      <c r="L223" s="28"/>
      <c r="M223" s="287"/>
      <c r="N223" s="334"/>
      <c r="O223" s="151">
        <v>-0.2</v>
      </c>
      <c r="P223" s="152">
        <v>0.2</v>
      </c>
      <c r="Q223" s="28"/>
      <c r="R223" s="28"/>
      <c r="S223" s="139"/>
      <c r="T223" s="139"/>
      <c r="U223" s="139"/>
      <c r="V223" s="139"/>
      <c r="W223" s="139"/>
      <c r="X223" s="28"/>
      <c r="Y223" s="28"/>
      <c r="Z223" s="28"/>
      <c r="AA223" s="28"/>
      <c r="AB223" s="31"/>
      <c r="AC223" s="31"/>
      <c r="AD223" s="12"/>
    </row>
    <row r="224" spans="1:30" s="11" customFormat="1" hidden="1" outlineLevel="1" x14ac:dyDescent="0.3">
      <c r="A224" s="93"/>
      <c r="B224" s="10"/>
      <c r="C224" s="80"/>
      <c r="D224" s="80"/>
      <c r="E224" s="80"/>
      <c r="F224" s="78"/>
      <c r="G224" s="28"/>
      <c r="H224" s="28"/>
      <c r="I224" s="28"/>
      <c r="J224" s="28"/>
      <c r="K224" s="28"/>
      <c r="L224" s="28"/>
      <c r="M224" s="287"/>
      <c r="N224" s="334"/>
      <c r="O224" s="31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31"/>
      <c r="AC224" s="31"/>
      <c r="AD224" s="12"/>
    </row>
    <row r="225" spans="1:30" s="11" customFormat="1" hidden="1" outlineLevel="1" x14ac:dyDescent="0.3">
      <c r="A225" s="93"/>
      <c r="B225" s="10"/>
      <c r="C225" s="80"/>
      <c r="D225" s="80"/>
      <c r="E225" s="80"/>
      <c r="F225" s="78"/>
      <c r="G225" s="28"/>
      <c r="H225" s="28"/>
      <c r="I225" s="28"/>
      <c r="J225" s="28"/>
      <c r="K225" s="28"/>
      <c r="L225" s="28"/>
      <c r="M225" s="287"/>
      <c r="N225" s="161" t="s">
        <v>457</v>
      </c>
      <c r="O225" s="139"/>
      <c r="P225" s="162" t="s">
        <v>96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31"/>
      <c r="AC225" s="31"/>
      <c r="AD225" s="12"/>
    </row>
    <row r="226" spans="1:30" s="11" customFormat="1" hidden="1" outlineLevel="1" x14ac:dyDescent="0.3">
      <c r="A226" s="93"/>
      <c r="B226" s="10"/>
      <c r="C226" s="80"/>
      <c r="D226" s="80"/>
      <c r="E226" s="80"/>
      <c r="F226" s="78"/>
      <c r="G226" s="28"/>
      <c r="H226" s="28"/>
      <c r="I226" s="28"/>
      <c r="J226" s="28"/>
      <c r="K226" s="28"/>
      <c r="L226" s="28"/>
      <c r="M226" s="287"/>
      <c r="N226" s="265" t="s">
        <v>156</v>
      </c>
      <c r="O226" s="28"/>
      <c r="P226" s="160" t="s">
        <v>78</v>
      </c>
      <c r="Q226" s="141" t="s">
        <v>193</v>
      </c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31"/>
      <c r="AD226" s="12"/>
    </row>
    <row r="227" spans="1:30" s="11" customFormat="1" hidden="1" outlineLevel="1" x14ac:dyDescent="0.3">
      <c r="A227" s="93"/>
      <c r="B227" s="10"/>
      <c r="C227" s="80"/>
      <c r="D227" s="80"/>
      <c r="E227" s="80"/>
      <c r="F227" s="78"/>
      <c r="G227" s="28"/>
      <c r="H227" s="28"/>
      <c r="I227" s="28"/>
      <c r="J227" s="28"/>
      <c r="K227" s="28"/>
      <c r="L227" s="28"/>
      <c r="M227" s="287"/>
      <c r="N227" s="265" t="s">
        <v>169</v>
      </c>
      <c r="O227" s="28"/>
      <c r="P227" s="160" t="s">
        <v>97</v>
      </c>
      <c r="Q227" s="141" t="s">
        <v>192</v>
      </c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31"/>
      <c r="AD227" s="12"/>
    </row>
    <row r="228" spans="1:30" s="11" customFormat="1" hidden="1" outlineLevel="1" x14ac:dyDescent="0.3">
      <c r="A228" s="93"/>
      <c r="B228" s="10"/>
      <c r="C228" s="80"/>
      <c r="D228" s="80"/>
      <c r="E228" s="80"/>
      <c r="F228" s="78"/>
      <c r="G228" s="28"/>
      <c r="H228" s="28"/>
      <c r="I228" s="28"/>
      <c r="J228" s="28"/>
      <c r="K228" s="28"/>
      <c r="L228" s="28"/>
      <c r="M228" s="287"/>
      <c r="N228" s="265" t="s">
        <v>170</v>
      </c>
      <c r="O228" s="28"/>
      <c r="P228" s="28"/>
      <c r="Q228" s="28"/>
      <c r="R228" s="28"/>
      <c r="S228" s="28"/>
      <c r="T228" s="28"/>
      <c r="U228" s="160"/>
      <c r="V228" s="28"/>
      <c r="W228" s="28"/>
      <c r="X228" s="28"/>
      <c r="Y228" s="28"/>
      <c r="Z228" s="28"/>
      <c r="AA228" s="28"/>
      <c r="AB228" s="28"/>
      <c r="AC228" s="31"/>
      <c r="AD228" s="12"/>
    </row>
    <row r="229" spans="1:30" s="11" customFormat="1" ht="15" hidden="1" customHeight="1" outlineLevel="1" x14ac:dyDescent="0.3">
      <c r="A229" s="93"/>
      <c r="B229" s="10"/>
      <c r="C229" s="80"/>
      <c r="D229" s="80"/>
      <c r="E229" s="80"/>
      <c r="F229" s="78"/>
      <c r="G229" s="28"/>
      <c r="H229" s="28"/>
      <c r="I229" s="28"/>
      <c r="J229" s="28"/>
      <c r="K229" s="28"/>
      <c r="L229" s="28"/>
      <c r="M229" s="287"/>
      <c r="N229" s="265" t="s">
        <v>171</v>
      </c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31"/>
      <c r="AD229" s="12"/>
    </row>
    <row r="230" spans="1:30" s="11" customFormat="1" hidden="1" outlineLevel="1" x14ac:dyDescent="0.3">
      <c r="A230" s="93"/>
      <c r="B230" s="10"/>
      <c r="C230" s="80"/>
      <c r="D230" s="80"/>
      <c r="E230" s="80"/>
      <c r="F230" s="78"/>
      <c r="G230" s="28"/>
      <c r="H230" s="28"/>
      <c r="I230" s="28"/>
      <c r="J230" s="28"/>
      <c r="K230" s="28"/>
      <c r="L230" s="28"/>
      <c r="M230" s="287"/>
      <c r="N230" s="265" t="s">
        <v>172</v>
      </c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31"/>
      <c r="AD230" s="12"/>
    </row>
    <row r="231" spans="1:30" s="11" customFormat="1" hidden="1" outlineLevel="1" x14ac:dyDescent="0.3">
      <c r="A231" s="93"/>
      <c r="B231" s="10"/>
      <c r="C231" s="80"/>
      <c r="D231" s="80"/>
      <c r="E231" s="80"/>
      <c r="F231" s="78"/>
      <c r="G231" s="28"/>
      <c r="H231" s="28"/>
      <c r="I231" s="28"/>
      <c r="J231" s="28"/>
      <c r="K231" s="28"/>
      <c r="L231" s="28"/>
      <c r="M231" s="287"/>
      <c r="N231" s="265" t="s">
        <v>173</v>
      </c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31"/>
      <c r="AD231" s="12"/>
    </row>
    <row r="232" spans="1:30" s="11" customFormat="1" hidden="1" outlineLevel="1" x14ac:dyDescent="0.3">
      <c r="A232" s="93"/>
      <c r="B232" s="10"/>
      <c r="C232" s="80"/>
      <c r="D232" s="80"/>
      <c r="E232" s="80"/>
      <c r="F232" s="78"/>
      <c r="G232" s="28"/>
      <c r="H232" s="28"/>
      <c r="I232" s="28"/>
      <c r="J232" s="28"/>
      <c r="K232" s="28"/>
      <c r="L232" s="28"/>
      <c r="M232" s="287"/>
      <c r="N232" s="265" t="s">
        <v>174</v>
      </c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31"/>
      <c r="AD232" s="12"/>
    </row>
    <row r="233" spans="1:30" s="11" customFormat="1" hidden="1" outlineLevel="1" x14ac:dyDescent="0.3">
      <c r="A233" s="93"/>
      <c r="B233" s="10"/>
      <c r="C233" s="80"/>
      <c r="D233" s="80"/>
      <c r="E233" s="80"/>
      <c r="F233" s="78"/>
      <c r="G233" s="28"/>
      <c r="H233" s="28"/>
      <c r="I233" s="28"/>
      <c r="J233" s="28"/>
      <c r="K233" s="28"/>
      <c r="L233" s="28"/>
      <c r="M233" s="287"/>
      <c r="N233" s="265" t="s">
        <v>155</v>
      </c>
      <c r="O233" s="31"/>
      <c r="P233" s="141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31"/>
      <c r="AD233" s="12"/>
    </row>
    <row r="234" spans="1:30" s="11" customFormat="1" hidden="1" outlineLevel="1" x14ac:dyDescent="0.3">
      <c r="A234" s="93"/>
      <c r="B234" s="10"/>
      <c r="C234" s="80"/>
      <c r="D234" s="80"/>
      <c r="E234" s="80"/>
      <c r="F234" s="78"/>
      <c r="G234" s="28"/>
      <c r="H234" s="28"/>
      <c r="I234" s="28"/>
      <c r="J234" s="28"/>
      <c r="K234" s="28"/>
      <c r="L234" s="28"/>
      <c r="M234" s="287"/>
      <c r="N234" s="265" t="s">
        <v>158</v>
      </c>
      <c r="O234" s="31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31"/>
      <c r="AD234" s="12"/>
    </row>
    <row r="235" spans="1:30" s="11" customFormat="1" hidden="1" outlineLevel="1" x14ac:dyDescent="0.3">
      <c r="A235" s="93"/>
      <c r="B235" s="10"/>
      <c r="C235" s="80"/>
      <c r="D235" s="80"/>
      <c r="E235" s="80"/>
      <c r="F235" s="78"/>
      <c r="G235" s="28"/>
      <c r="H235" s="28"/>
      <c r="I235" s="28"/>
      <c r="J235" s="28"/>
      <c r="K235" s="28"/>
      <c r="L235" s="28"/>
      <c r="M235" s="287"/>
      <c r="N235" s="265" t="s">
        <v>160</v>
      </c>
      <c r="O235" s="31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31"/>
      <c r="AD235" s="12"/>
    </row>
    <row r="236" spans="1:30" s="11" customFormat="1" hidden="1" outlineLevel="1" x14ac:dyDescent="0.3">
      <c r="A236" s="93"/>
      <c r="B236" s="10"/>
      <c r="C236" s="80"/>
      <c r="D236" s="80"/>
      <c r="E236" s="80"/>
      <c r="F236" s="78"/>
      <c r="G236" s="28"/>
      <c r="H236" s="28"/>
      <c r="I236" s="28"/>
      <c r="J236" s="28"/>
      <c r="K236" s="28"/>
      <c r="L236" s="28"/>
      <c r="M236" s="287"/>
      <c r="N236" s="265" t="s">
        <v>159</v>
      </c>
      <c r="O236" s="31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31"/>
      <c r="AD236" s="12"/>
    </row>
    <row r="237" spans="1:30" s="11" customFormat="1" hidden="1" outlineLevel="1" x14ac:dyDescent="0.3">
      <c r="A237" s="93"/>
      <c r="B237" s="10"/>
      <c r="C237" s="80"/>
      <c r="D237" s="80"/>
      <c r="E237" s="80"/>
      <c r="F237" s="78"/>
      <c r="G237" s="28"/>
      <c r="H237" s="28"/>
      <c r="I237" s="28"/>
      <c r="J237" s="28"/>
      <c r="K237" s="28"/>
      <c r="L237" s="28"/>
      <c r="M237" s="287"/>
      <c r="N237" s="265" t="s">
        <v>161</v>
      </c>
      <c r="O237" s="31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31"/>
      <c r="AD237" s="12"/>
    </row>
    <row r="238" spans="1:30" s="11" customFormat="1" hidden="1" outlineLevel="1" x14ac:dyDescent="0.3">
      <c r="A238" s="93"/>
      <c r="B238" s="10"/>
      <c r="C238" s="80"/>
      <c r="D238" s="80"/>
      <c r="E238" s="80"/>
      <c r="F238" s="78"/>
      <c r="G238" s="28"/>
      <c r="H238" s="28"/>
      <c r="I238" s="28"/>
      <c r="J238" s="28"/>
      <c r="K238" s="28"/>
      <c r="L238" s="28"/>
      <c r="M238" s="287"/>
      <c r="N238" s="265" t="s">
        <v>162</v>
      </c>
      <c r="O238" s="31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31"/>
      <c r="AD238" s="12"/>
    </row>
    <row r="239" spans="1:30" s="11" customFormat="1" hidden="1" outlineLevel="1" x14ac:dyDescent="0.3">
      <c r="A239" s="93"/>
      <c r="B239" s="10"/>
      <c r="C239" s="80"/>
      <c r="D239" s="80"/>
      <c r="E239" s="80"/>
      <c r="F239" s="78"/>
      <c r="G239" s="28"/>
      <c r="H239" s="28"/>
      <c r="I239" s="28"/>
      <c r="J239" s="28"/>
      <c r="K239" s="28"/>
      <c r="L239" s="28"/>
      <c r="M239" s="287"/>
      <c r="N239" s="265" t="s">
        <v>163</v>
      </c>
      <c r="O239" s="31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31"/>
      <c r="AD239" s="12"/>
    </row>
    <row r="240" spans="1:30" s="11" customFormat="1" hidden="1" outlineLevel="1" x14ac:dyDescent="0.3">
      <c r="A240" s="93"/>
      <c r="B240" s="10"/>
      <c r="C240" s="80"/>
      <c r="D240" s="80"/>
      <c r="E240" s="80"/>
      <c r="F240" s="78"/>
      <c r="G240" s="28"/>
      <c r="H240" s="28"/>
      <c r="I240" s="28"/>
      <c r="J240" s="28"/>
      <c r="K240" s="28"/>
      <c r="L240" s="28"/>
      <c r="M240" s="287"/>
      <c r="N240" s="265" t="s">
        <v>157</v>
      </c>
      <c r="O240" s="31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31"/>
      <c r="AD240" s="12"/>
    </row>
    <row r="241" spans="1:30" s="11" customFormat="1" hidden="1" outlineLevel="1" x14ac:dyDescent="0.3">
      <c r="A241" s="93"/>
      <c r="B241" s="10"/>
      <c r="C241" s="80"/>
      <c r="D241" s="80"/>
      <c r="E241" s="80"/>
      <c r="F241" s="78"/>
      <c r="G241" s="28"/>
      <c r="H241" s="28"/>
      <c r="I241" s="28"/>
      <c r="J241" s="28"/>
      <c r="K241" s="28"/>
      <c r="L241" s="28"/>
      <c r="M241" s="287"/>
      <c r="N241" s="265" t="s">
        <v>164</v>
      </c>
      <c r="O241" s="31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31"/>
      <c r="AD241" s="12"/>
    </row>
    <row r="242" spans="1:30" s="11" customFormat="1" hidden="1" outlineLevel="1" x14ac:dyDescent="0.3">
      <c r="A242" s="93"/>
      <c r="B242" s="10"/>
      <c r="C242" s="80"/>
      <c r="D242" s="80"/>
      <c r="E242" s="80"/>
      <c r="F242" s="78"/>
      <c r="G242" s="28"/>
      <c r="H242" s="28"/>
      <c r="I242" s="28"/>
      <c r="J242" s="28"/>
      <c r="K242" s="28"/>
      <c r="L242" s="28"/>
      <c r="M242" s="287"/>
      <c r="N242" s="265" t="s">
        <v>165</v>
      </c>
      <c r="O242" s="31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31"/>
      <c r="AD242" s="12"/>
    </row>
    <row r="243" spans="1:30" s="11" customFormat="1" hidden="1" outlineLevel="1" x14ac:dyDescent="0.3">
      <c r="A243" s="93"/>
      <c r="B243" s="10"/>
      <c r="C243" s="80"/>
      <c r="D243" s="80"/>
      <c r="E243" s="80"/>
      <c r="F243" s="78"/>
      <c r="G243" s="28"/>
      <c r="H243" s="28"/>
      <c r="I243" s="28"/>
      <c r="J243" s="28"/>
      <c r="K243" s="28"/>
      <c r="L243" s="28"/>
      <c r="M243" s="287"/>
      <c r="N243" s="265" t="s">
        <v>166</v>
      </c>
      <c r="O243" s="31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31"/>
      <c r="AD243" s="12"/>
    </row>
    <row r="244" spans="1:30" s="11" customFormat="1" hidden="1" outlineLevel="1" x14ac:dyDescent="0.3">
      <c r="A244" s="93"/>
      <c r="B244" s="10"/>
      <c r="C244" s="80"/>
      <c r="D244" s="80"/>
      <c r="E244" s="80"/>
      <c r="F244" s="78"/>
      <c r="G244" s="28"/>
      <c r="H244" s="28"/>
      <c r="I244" s="28"/>
      <c r="J244" s="28"/>
      <c r="K244" s="28"/>
      <c r="L244" s="28"/>
      <c r="M244" s="287"/>
      <c r="N244" s="265" t="s">
        <v>167</v>
      </c>
      <c r="O244" s="31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31"/>
      <c r="AD244" s="12"/>
    </row>
    <row r="245" spans="1:30" s="11" customFormat="1" hidden="1" outlineLevel="1" x14ac:dyDescent="0.3">
      <c r="A245" s="93"/>
      <c r="B245" s="10"/>
      <c r="C245" s="80"/>
      <c r="D245" s="80"/>
      <c r="E245" s="80"/>
      <c r="F245" s="78"/>
      <c r="G245" s="28"/>
      <c r="H245" s="28"/>
      <c r="I245" s="28"/>
      <c r="J245" s="28"/>
      <c r="K245" s="28"/>
      <c r="L245" s="28"/>
      <c r="M245" s="287"/>
      <c r="N245" s="265" t="s">
        <v>168</v>
      </c>
      <c r="O245" s="31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31"/>
      <c r="AD245" s="12"/>
    </row>
    <row r="246" spans="1:30" s="11" customFormat="1" hidden="1" outlineLevel="1" x14ac:dyDescent="0.3">
      <c r="A246" s="93"/>
      <c r="B246" s="10"/>
      <c r="C246" s="80"/>
      <c r="D246" s="80"/>
      <c r="E246" s="80"/>
      <c r="F246" s="78"/>
      <c r="G246" s="28"/>
      <c r="H246" s="28"/>
      <c r="I246" s="28"/>
      <c r="J246" s="28"/>
      <c r="K246" s="28"/>
      <c r="L246" s="28"/>
      <c r="M246" s="287"/>
      <c r="N246" s="139"/>
      <c r="O246" s="31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31"/>
      <c r="AD246" s="12"/>
    </row>
    <row r="247" spans="1:30" s="11" customFormat="1" ht="15" hidden="1" customHeight="1" outlineLevel="1" x14ac:dyDescent="0.3">
      <c r="A247" s="93"/>
      <c r="B247" s="10"/>
      <c r="C247" s="80"/>
      <c r="D247" s="80"/>
      <c r="E247" s="80"/>
      <c r="F247" s="78"/>
      <c r="G247" s="28"/>
      <c r="H247" s="28"/>
      <c r="I247" s="28"/>
      <c r="J247" s="28"/>
      <c r="K247" s="28"/>
      <c r="L247" s="28"/>
      <c r="M247" s="287"/>
      <c r="N247" s="165" t="s">
        <v>77</v>
      </c>
      <c r="O247" s="165" t="s">
        <v>144</v>
      </c>
      <c r="P247" s="28"/>
      <c r="Q247" s="186"/>
      <c r="R247" s="186"/>
      <c r="S247" s="28"/>
      <c r="T247" s="28"/>
      <c r="U247" s="28"/>
      <c r="V247" s="28"/>
      <c r="W247" s="28"/>
      <c r="X247" s="28"/>
      <c r="Y247" s="28"/>
      <c r="Z247" s="28"/>
      <c r="AA247" s="28"/>
      <c r="AB247" s="31"/>
      <c r="AC247" s="31"/>
      <c r="AD247" s="12"/>
    </row>
    <row r="248" spans="1:30" s="11" customFormat="1" ht="15" hidden="1" customHeight="1" outlineLevel="1" x14ac:dyDescent="0.3">
      <c r="A248" s="93"/>
      <c r="B248" s="10"/>
      <c r="C248" s="80"/>
      <c r="D248" s="80"/>
      <c r="E248" s="80"/>
      <c r="F248" s="78"/>
      <c r="G248" s="28"/>
      <c r="H248" s="28"/>
      <c r="I248" s="28"/>
      <c r="J248" s="28"/>
      <c r="K248" s="28"/>
      <c r="L248" s="28"/>
      <c r="M248" s="287"/>
      <c r="N248" s="159" t="s">
        <v>65</v>
      </c>
      <c r="O248" s="164">
        <v>0.5</v>
      </c>
      <c r="P248" s="335" t="s">
        <v>140</v>
      </c>
      <c r="Q248" s="335"/>
      <c r="R248" s="335"/>
      <c r="S248" s="28"/>
      <c r="T248" s="28"/>
      <c r="U248" s="28"/>
      <c r="V248" s="28"/>
      <c r="W248" s="28"/>
      <c r="X248" s="28"/>
      <c r="Y248" s="28"/>
      <c r="Z248" s="28"/>
      <c r="AA248" s="28"/>
      <c r="AB248" s="31"/>
      <c r="AC248" s="31"/>
      <c r="AD248" s="12"/>
    </row>
    <row r="249" spans="1:30" s="11" customFormat="1" hidden="1" outlineLevel="1" x14ac:dyDescent="0.3">
      <c r="A249" s="93"/>
      <c r="B249" s="10"/>
      <c r="C249" s="80"/>
      <c r="D249" s="80"/>
      <c r="E249" s="80"/>
      <c r="F249" s="78"/>
      <c r="G249" s="28"/>
      <c r="H249" s="28"/>
      <c r="I249" s="28"/>
      <c r="J249" s="28"/>
      <c r="K249" s="28"/>
      <c r="L249" s="28"/>
      <c r="M249" s="287"/>
      <c r="N249" s="159" t="s">
        <v>66</v>
      </c>
      <c r="O249" s="164">
        <v>0.25</v>
      </c>
      <c r="P249" s="335"/>
      <c r="Q249" s="335"/>
      <c r="R249" s="335"/>
      <c r="S249" s="28"/>
      <c r="T249" s="28"/>
      <c r="U249" s="28"/>
      <c r="V249" s="28"/>
      <c r="W249" s="28"/>
      <c r="X249" s="28"/>
      <c r="Y249" s="28"/>
      <c r="Z249" s="28"/>
      <c r="AA249" s="28"/>
      <c r="AB249" s="31"/>
      <c r="AC249" s="31"/>
      <c r="AD249" s="12"/>
    </row>
    <row r="250" spans="1:30" s="11" customFormat="1" hidden="1" outlineLevel="1" x14ac:dyDescent="0.3">
      <c r="A250" s="93"/>
      <c r="B250" s="10"/>
      <c r="C250" s="80"/>
      <c r="D250" s="80"/>
      <c r="E250" s="80"/>
      <c r="F250" s="78"/>
      <c r="G250" s="28"/>
      <c r="H250" s="28"/>
      <c r="I250" s="28"/>
      <c r="J250" s="28"/>
      <c r="K250" s="28"/>
      <c r="L250" s="28"/>
      <c r="M250" s="287"/>
      <c r="N250" s="31"/>
      <c r="O250" s="31"/>
      <c r="P250" s="335"/>
      <c r="Q250" s="335"/>
      <c r="R250" s="335"/>
      <c r="S250" s="28"/>
      <c r="T250" s="28"/>
      <c r="U250" s="28"/>
      <c r="V250" s="28"/>
      <c r="W250" s="28"/>
      <c r="X250" s="28"/>
      <c r="Y250" s="28"/>
      <c r="Z250" s="28"/>
      <c r="AA250" s="28"/>
      <c r="AB250" s="31"/>
      <c r="AC250" s="31"/>
      <c r="AD250" s="12"/>
    </row>
    <row r="251" spans="1:30" s="11" customFormat="1" hidden="1" outlineLevel="1" x14ac:dyDescent="0.3">
      <c r="A251" s="93"/>
      <c r="B251" s="10"/>
      <c r="C251" s="80"/>
      <c r="D251" s="80"/>
      <c r="E251" s="80"/>
      <c r="F251" s="78"/>
      <c r="G251" s="28"/>
      <c r="H251" s="28"/>
      <c r="I251" s="28"/>
      <c r="J251" s="28"/>
      <c r="K251" s="28"/>
      <c r="L251" s="28"/>
      <c r="M251" s="287"/>
      <c r="N251" s="31"/>
      <c r="O251" s="31"/>
      <c r="P251" s="335"/>
      <c r="Q251" s="335"/>
      <c r="R251" s="335"/>
      <c r="S251" s="28"/>
      <c r="T251" s="28"/>
      <c r="U251" s="28"/>
      <c r="V251" s="28"/>
      <c r="W251" s="28"/>
      <c r="X251" s="28"/>
      <c r="Y251" s="28"/>
      <c r="Z251" s="28"/>
      <c r="AA251" s="28"/>
      <c r="AB251" s="31"/>
      <c r="AC251" s="31"/>
      <c r="AD251" s="12"/>
    </row>
    <row r="252" spans="1:30" s="11" customFormat="1" hidden="1" outlineLevel="1" x14ac:dyDescent="0.3">
      <c r="A252" s="93"/>
      <c r="B252" s="10"/>
      <c r="C252" s="80"/>
      <c r="D252" s="80"/>
      <c r="E252" s="80"/>
      <c r="F252" s="78"/>
      <c r="G252" s="28"/>
      <c r="H252" s="28"/>
      <c r="I252" s="28"/>
      <c r="J252" s="28"/>
      <c r="K252" s="28"/>
      <c r="L252" s="28"/>
      <c r="M252" s="287"/>
      <c r="N252" s="161" t="s">
        <v>133</v>
      </c>
      <c r="O252" s="165" t="s">
        <v>144</v>
      </c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31"/>
      <c r="AC252" s="31"/>
      <c r="AD252" s="12"/>
    </row>
    <row r="253" spans="1:30" s="11" customFormat="1" hidden="1" outlineLevel="1" x14ac:dyDescent="0.3">
      <c r="A253" s="93"/>
      <c r="B253" s="10"/>
      <c r="C253" s="80"/>
      <c r="D253" s="80"/>
      <c r="E253" s="80"/>
      <c r="F253" s="78"/>
      <c r="G253" s="28"/>
      <c r="H253" s="28"/>
      <c r="I253" s="28"/>
      <c r="J253" s="28"/>
      <c r="K253" s="28"/>
      <c r="L253" s="28"/>
      <c r="M253" s="287"/>
      <c r="N253" s="273" t="s">
        <v>23</v>
      </c>
      <c r="O253" s="274">
        <v>0</v>
      </c>
      <c r="P253" s="335" t="s">
        <v>141</v>
      </c>
      <c r="Q253" s="335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31"/>
      <c r="AC253" s="31"/>
      <c r="AD253" s="12"/>
    </row>
    <row r="254" spans="1:30" s="11" customFormat="1" ht="15" hidden="1" customHeight="1" outlineLevel="1" x14ac:dyDescent="0.3">
      <c r="A254" s="93"/>
      <c r="B254" s="10"/>
      <c r="C254" s="80"/>
      <c r="D254" s="80"/>
      <c r="E254" s="80"/>
      <c r="F254" s="78"/>
      <c r="G254" s="28"/>
      <c r="H254" s="28"/>
      <c r="I254" s="28"/>
      <c r="J254" s="28"/>
      <c r="K254" s="28"/>
      <c r="L254" s="28"/>
      <c r="M254" s="287"/>
      <c r="N254" s="273" t="s">
        <v>134</v>
      </c>
      <c r="O254" s="274">
        <v>0.25</v>
      </c>
      <c r="P254" s="335"/>
      <c r="Q254" s="335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31"/>
      <c r="AC254" s="31"/>
      <c r="AD254" s="12"/>
    </row>
    <row r="255" spans="1:30" s="11" customFormat="1" hidden="1" outlineLevel="1" x14ac:dyDescent="0.3">
      <c r="A255" s="93"/>
      <c r="B255" s="10"/>
      <c r="C255" s="80"/>
      <c r="D255" s="80"/>
      <c r="E255" s="80"/>
      <c r="F255" s="78"/>
      <c r="G255" s="28"/>
      <c r="H255" s="28"/>
      <c r="I255" s="28"/>
      <c r="J255" s="28"/>
      <c r="K255" s="28"/>
      <c r="L255" s="28"/>
      <c r="M255" s="287"/>
      <c r="N255" s="273" t="s">
        <v>135</v>
      </c>
      <c r="O255" s="275">
        <v>0.1</v>
      </c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31"/>
      <c r="AC255" s="31"/>
      <c r="AD255" s="12"/>
    </row>
    <row r="256" spans="1:30" s="11" customFormat="1" hidden="1" outlineLevel="1" x14ac:dyDescent="0.3">
      <c r="A256" s="93"/>
      <c r="B256" s="10"/>
      <c r="C256" s="80"/>
      <c r="D256" s="80"/>
      <c r="E256" s="80"/>
      <c r="F256" s="78"/>
      <c r="G256" s="28"/>
      <c r="H256" s="28"/>
      <c r="I256" s="28"/>
      <c r="J256" s="28"/>
      <c r="K256" s="28"/>
      <c r="L256" s="28"/>
      <c r="M256" s="287"/>
      <c r="N256" s="273" t="s">
        <v>136</v>
      </c>
      <c r="O256" s="275">
        <v>0</v>
      </c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31"/>
      <c r="AC256" s="31"/>
      <c r="AD256" s="12"/>
    </row>
    <row r="257" spans="1:30" s="11" customFormat="1" hidden="1" outlineLevel="1" x14ac:dyDescent="0.3">
      <c r="A257" s="93"/>
      <c r="B257" s="10"/>
      <c r="C257" s="80"/>
      <c r="D257" s="80"/>
      <c r="E257" s="80"/>
      <c r="F257" s="78"/>
      <c r="G257" s="28"/>
      <c r="H257" s="28"/>
      <c r="I257" s="28"/>
      <c r="J257" s="28"/>
      <c r="K257" s="28"/>
      <c r="L257" s="28"/>
      <c r="M257" s="287"/>
      <c r="N257" s="273" t="s">
        <v>137</v>
      </c>
      <c r="O257" s="275">
        <v>0</v>
      </c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31"/>
      <c r="AC257" s="31"/>
      <c r="AD257" s="12"/>
    </row>
    <row r="258" spans="1:30" s="11" customFormat="1" hidden="1" outlineLevel="1" x14ac:dyDescent="0.3">
      <c r="A258" s="93"/>
      <c r="B258" s="10"/>
      <c r="C258" s="80"/>
      <c r="D258" s="80"/>
      <c r="E258" s="80"/>
      <c r="F258" s="78"/>
      <c r="G258" s="28"/>
      <c r="H258" s="28"/>
      <c r="I258" s="28"/>
      <c r="J258" s="28"/>
      <c r="K258" s="28"/>
      <c r="L258" s="28"/>
      <c r="M258" s="287"/>
      <c r="N258" s="273" t="s">
        <v>138</v>
      </c>
      <c r="O258" s="275">
        <v>0</v>
      </c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31"/>
      <c r="AC258" s="31"/>
      <c r="AD258" s="12"/>
    </row>
    <row r="259" spans="1:30" s="11" customFormat="1" hidden="1" outlineLevel="1" x14ac:dyDescent="0.3">
      <c r="A259" s="93"/>
      <c r="B259" s="10"/>
      <c r="C259" s="80"/>
      <c r="D259" s="80"/>
      <c r="E259" s="80"/>
      <c r="F259" s="78"/>
      <c r="G259" s="28"/>
      <c r="H259" s="28"/>
      <c r="I259" s="28"/>
      <c r="J259" s="28"/>
      <c r="K259" s="28"/>
      <c r="L259" s="28"/>
      <c r="M259" s="287"/>
      <c r="N259" s="31"/>
      <c r="O259" s="31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31"/>
      <c r="AC259" s="31"/>
      <c r="AD259" s="12"/>
    </row>
    <row r="260" spans="1:30" s="11" customFormat="1" hidden="1" outlineLevel="1" x14ac:dyDescent="0.3">
      <c r="A260" s="93"/>
      <c r="B260" s="10"/>
      <c r="C260" s="80"/>
      <c r="D260" s="80"/>
      <c r="E260" s="80"/>
      <c r="F260" s="78"/>
      <c r="G260" s="28"/>
      <c r="H260" s="28"/>
      <c r="I260" s="28"/>
      <c r="J260" s="28"/>
      <c r="K260" s="28"/>
      <c r="L260" s="28"/>
      <c r="M260" s="287"/>
      <c r="N260" s="161" t="s">
        <v>142</v>
      </c>
      <c r="O260" s="165" t="s">
        <v>144</v>
      </c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31"/>
      <c r="AC260" s="31"/>
      <c r="AD260" s="12"/>
    </row>
    <row r="261" spans="1:30" s="11" customFormat="1" ht="15" hidden="1" customHeight="1" outlineLevel="1" x14ac:dyDescent="0.3">
      <c r="A261" s="93"/>
      <c r="B261" s="10"/>
      <c r="C261" s="80"/>
      <c r="D261" s="80"/>
      <c r="E261" s="80"/>
      <c r="F261" s="78"/>
      <c r="G261" s="28"/>
      <c r="H261" s="28"/>
      <c r="I261" s="28"/>
      <c r="J261" s="28"/>
      <c r="K261" s="28"/>
      <c r="L261" s="28"/>
      <c r="M261" s="287"/>
      <c r="N261" s="158" t="str">
        <f>Lists!B46</f>
        <v>Low</v>
      </c>
      <c r="O261" s="164">
        <v>0.1</v>
      </c>
      <c r="P261" s="335" t="s">
        <v>143</v>
      </c>
      <c r="Q261" s="335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31"/>
      <c r="AC261" s="31"/>
      <c r="AD261" s="12"/>
    </row>
    <row r="262" spans="1:30" s="11" customFormat="1" hidden="1" outlineLevel="1" x14ac:dyDescent="0.3">
      <c r="A262" s="93"/>
      <c r="B262" s="10"/>
      <c r="C262" s="80"/>
      <c r="D262" s="80"/>
      <c r="E262" s="80"/>
      <c r="F262" s="78"/>
      <c r="G262" s="28"/>
      <c r="H262" s="28"/>
      <c r="I262" s="28"/>
      <c r="J262" s="28"/>
      <c r="K262" s="28"/>
      <c r="L262" s="28"/>
      <c r="M262" s="287"/>
      <c r="N262" s="158" t="str">
        <f>Lists!B47</f>
        <v>Medium</v>
      </c>
      <c r="O262" s="164">
        <v>0.15</v>
      </c>
      <c r="P262" s="335"/>
      <c r="Q262" s="335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31"/>
      <c r="AC262" s="31"/>
      <c r="AD262" s="12"/>
    </row>
    <row r="263" spans="1:30" s="11" customFormat="1" hidden="1" outlineLevel="1" x14ac:dyDescent="0.3">
      <c r="A263" s="93"/>
      <c r="B263" s="10"/>
      <c r="C263" s="80"/>
      <c r="D263" s="80"/>
      <c r="E263" s="80"/>
      <c r="F263" s="78"/>
      <c r="G263" s="28"/>
      <c r="H263" s="28"/>
      <c r="I263" s="28"/>
      <c r="J263" s="28"/>
      <c r="K263" s="28"/>
      <c r="L263" s="28"/>
      <c r="M263" s="287"/>
      <c r="N263" s="158" t="str">
        <f>Lists!B48</f>
        <v>High</v>
      </c>
      <c r="O263" s="164">
        <v>0.2</v>
      </c>
      <c r="P263" s="335"/>
      <c r="Q263" s="335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31"/>
      <c r="AC263" s="31"/>
      <c r="AD263" s="12"/>
    </row>
    <row r="264" spans="1:30" s="11" customFormat="1" hidden="1" outlineLevel="1" x14ac:dyDescent="0.3">
      <c r="A264" s="93"/>
      <c r="B264" s="10"/>
      <c r="C264" s="80"/>
      <c r="D264" s="80"/>
      <c r="E264" s="80"/>
      <c r="F264" s="78"/>
      <c r="G264" s="28"/>
      <c r="H264" s="28"/>
      <c r="I264" s="28"/>
      <c r="J264" s="28"/>
      <c r="K264" s="28"/>
      <c r="L264" s="28"/>
      <c r="M264" s="287"/>
      <c r="N264" s="31"/>
      <c r="O264" s="31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31"/>
      <c r="AC264" s="31"/>
      <c r="AD264" s="12"/>
    </row>
    <row r="265" spans="1:30" s="11" customFormat="1" ht="20.25" hidden="1" customHeight="1" outlineLevel="1" x14ac:dyDescent="0.3">
      <c r="A265" s="93"/>
      <c r="B265" s="10"/>
      <c r="C265" s="78"/>
      <c r="D265" s="78"/>
      <c r="E265" s="78"/>
      <c r="F265" s="78"/>
      <c r="G265" s="43"/>
      <c r="H265" s="43"/>
      <c r="I265" s="43"/>
      <c r="J265" s="43"/>
      <c r="K265" s="43"/>
      <c r="L265" s="43"/>
      <c r="M265" s="28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12"/>
    </row>
    <row r="266" spans="1:30" x14ac:dyDescent="0.3">
      <c r="F266" s="78"/>
    </row>
    <row r="330" spans="1:30" s="11" customFormat="1" ht="20.25" customHeight="1" x14ac:dyDescent="0.3">
      <c r="A330" s="93"/>
      <c r="B330" s="10"/>
      <c r="C330" s="78"/>
      <c r="D330" s="78"/>
      <c r="E330" s="78"/>
      <c r="F330" s="78"/>
      <c r="G330" s="328" t="s">
        <v>48</v>
      </c>
      <c r="H330" s="328"/>
      <c r="I330" s="178"/>
      <c r="J330" s="43"/>
      <c r="K330" s="43"/>
      <c r="L330" s="39"/>
      <c r="M330" s="291" t="s">
        <v>125</v>
      </c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12"/>
    </row>
    <row r="331" spans="1:30" hidden="1" x14ac:dyDescent="0.3"/>
    <row r="332" spans="1:30" s="17" customFormat="1" ht="18" hidden="1" collapsed="1" x14ac:dyDescent="0.3">
      <c r="A332" s="93" t="s">
        <v>98</v>
      </c>
      <c r="B332" s="21"/>
      <c r="C332" s="81"/>
      <c r="D332" s="81"/>
      <c r="E332" s="81"/>
      <c r="F332" s="82"/>
      <c r="G332" s="55"/>
      <c r="H332" s="55"/>
      <c r="I332" s="55"/>
      <c r="J332" s="55"/>
      <c r="K332" s="55"/>
      <c r="L332" s="55" t="s">
        <v>105</v>
      </c>
      <c r="M332" s="286" t="s">
        <v>106</v>
      </c>
      <c r="N332" s="56"/>
      <c r="O332" s="57"/>
      <c r="P332" s="58"/>
      <c r="Q332" s="58"/>
      <c r="R332" s="58"/>
      <c r="S332" s="319">
        <f>CEILING(SUMIFS(T333:T338, J333:J338, "&lt;&gt;Yes", A333:A338,"T1"),1)</f>
        <v>0</v>
      </c>
      <c r="T332" s="319"/>
      <c r="U332" s="58"/>
      <c r="V332" s="58"/>
      <c r="W332" s="58"/>
      <c r="X332" s="58"/>
      <c r="Y332" s="58"/>
      <c r="Z332" s="58"/>
      <c r="AA332" s="58"/>
      <c r="AB332" s="58"/>
      <c r="AC332" s="58"/>
      <c r="AD332" s="26" t="str">
        <f>IF(M332="", "Section name cannot be empty.", "")</f>
        <v/>
      </c>
    </row>
    <row r="333" spans="1:30" s="11" customFormat="1" ht="1.5" hidden="1" customHeight="1" outlineLevel="1" x14ac:dyDescent="0.3">
      <c r="A333" s="93" t="s">
        <v>99</v>
      </c>
      <c r="B333" s="18"/>
      <c r="C333" s="78"/>
      <c r="D333" s="78"/>
      <c r="E333" s="78"/>
      <c r="F333" s="78"/>
      <c r="G333" s="28"/>
      <c r="H333" s="28"/>
      <c r="I333" s="28"/>
      <c r="J333" s="28"/>
      <c r="K333" s="28"/>
      <c r="L333" s="29">
        <v>0</v>
      </c>
      <c r="M333" s="287"/>
      <c r="N333" s="28"/>
      <c r="O333" s="28"/>
      <c r="P333" s="28"/>
      <c r="Q333" s="28"/>
      <c r="R333" s="28"/>
      <c r="S333" s="28"/>
      <c r="T333" s="30"/>
      <c r="U333" s="28"/>
      <c r="V333" s="28"/>
      <c r="W333" s="28"/>
      <c r="X333" s="30"/>
      <c r="Y333" s="28"/>
      <c r="Z333" s="28"/>
      <c r="AA333" s="28"/>
      <c r="AB333" s="31"/>
      <c r="AC333" s="31"/>
      <c r="AD333" s="12"/>
    </row>
    <row r="334" spans="1:30" s="17" customFormat="1" ht="15.6" hidden="1" outlineLevel="1" x14ac:dyDescent="0.3">
      <c r="A334" s="93" t="s">
        <v>100</v>
      </c>
      <c r="B334" s="21"/>
      <c r="C334" s="84"/>
      <c r="D334" s="84"/>
      <c r="E334" s="84"/>
      <c r="F334" s="83"/>
      <c r="G334" s="32"/>
      <c r="H334" s="32"/>
      <c r="I334" s="32"/>
      <c r="J334" s="32"/>
      <c r="K334" s="32"/>
      <c r="L334" s="20">
        <f ca="1">LOOKUP(1000,INDIRECT("L1:"&amp;CELL("address",INDIRECT("R[-1]C",FALSE))))+1</f>
        <v>1</v>
      </c>
      <c r="M334" s="318" t="s">
        <v>108</v>
      </c>
      <c r="N334" s="318"/>
      <c r="O334" s="5"/>
      <c r="P334" s="33"/>
      <c r="Q334" s="33"/>
      <c r="R334" s="33"/>
      <c r="S334" s="33"/>
      <c r="T334" s="167">
        <f>IF($S$6="Exclude", SUMIFS(S335:S337, J335:J337, "&lt;&gt;Yes", G335:G337, "&lt;&gt;Yes"), SUMIFS(S335:S337, J335:J337, "&lt;&gt;Yes"))</f>
        <v>0</v>
      </c>
      <c r="U334" s="33"/>
      <c r="V334" s="33"/>
      <c r="W334" s="33"/>
      <c r="X334" s="34"/>
      <c r="Y334" s="35"/>
      <c r="Z334" s="35"/>
      <c r="AA334" s="35"/>
      <c r="AB334" s="242" t="s">
        <v>443</v>
      </c>
      <c r="AC334" s="36"/>
      <c r="AD334" s="26" t="str">
        <f>IF(M334="", "Error: Task name cannot be empty.", "")</f>
        <v/>
      </c>
    </row>
    <row r="335" spans="1:30" s="15" customFormat="1" ht="1.5" hidden="1" customHeight="1" outlineLevel="2" x14ac:dyDescent="0.3">
      <c r="A335" s="93" t="s">
        <v>101</v>
      </c>
      <c r="B335" s="21"/>
      <c r="C335" s="84"/>
      <c r="D335" s="84"/>
      <c r="E335" s="84"/>
      <c r="F335" s="83"/>
      <c r="G335" s="32"/>
      <c r="H335" s="32"/>
      <c r="I335" s="32"/>
      <c r="J335" s="32"/>
      <c r="K335" s="32"/>
      <c r="L335" s="175">
        <f ca="1">L334</f>
        <v>1</v>
      </c>
      <c r="M335" s="176" t="s">
        <v>105</v>
      </c>
      <c r="N335" s="173"/>
      <c r="O335" s="174"/>
      <c r="P335" s="33"/>
      <c r="Q335" s="33"/>
      <c r="R335" s="33"/>
      <c r="S335" s="33"/>
      <c r="T335" s="167"/>
      <c r="U335" s="33"/>
      <c r="V335" s="33"/>
      <c r="W335" s="33"/>
      <c r="X335" s="34"/>
      <c r="Y335" s="35"/>
      <c r="Z335" s="35"/>
      <c r="AA335" s="35"/>
      <c r="AB335" s="36"/>
      <c r="AC335" s="36"/>
      <c r="AD335" s="26"/>
    </row>
    <row r="336" spans="1:30" ht="57.6" hidden="1" outlineLevel="2" x14ac:dyDescent="0.3">
      <c r="A336" s="93" t="s">
        <v>0</v>
      </c>
      <c r="B336" s="21"/>
      <c r="C336" s="85"/>
      <c r="D336" s="85"/>
      <c r="E336" s="85"/>
      <c r="F336" s="86"/>
      <c r="G336" s="22" t="s">
        <v>23</v>
      </c>
      <c r="H336" s="22" t="s">
        <v>23</v>
      </c>
      <c r="I336" s="23" t="s">
        <v>23</v>
      </c>
      <c r="J336" s="22" t="s">
        <v>23</v>
      </c>
      <c r="K336" s="38"/>
      <c r="L336" s="22"/>
      <c r="M336" s="288" t="str">
        <f ca="1">IFERROR(OFFSET(M336,-1,,1,1)+0.1,OFFSET(M336,-1,-1,1,1)&amp;".1")</f>
        <v>1.1</v>
      </c>
      <c r="N336" s="23" t="s">
        <v>442</v>
      </c>
      <c r="O336" s="23"/>
      <c r="P336" s="23"/>
      <c r="Q336" s="144"/>
      <c r="R336" s="137"/>
      <c r="S336" s="169">
        <f>CEILING((IF(J336="Yes", 0, IF(H336="-",AA336,AA336+AA336*VLOOKUP(H336,BUFFERS_BY_TYPE,2,FALSE)))) +
   (IF(J336="Yes", 0, IF(H336="-",AA336,AA336+AA336*VLOOKUP(H336,BUFFERS_BY_TYPE,2,FALSE))))*VLOOKUP($S$5, SALES_CALL_SCALE_ARRAY, 2,FALSE),0.25)</f>
        <v>0</v>
      </c>
      <c r="T336" s="170"/>
      <c r="U336" s="24">
        <v>0</v>
      </c>
      <c r="V336" s="24">
        <v>1</v>
      </c>
      <c r="W336" s="24">
        <v>0</v>
      </c>
      <c r="X336" s="168"/>
      <c r="Y336" s="169">
        <f>CEILING((IF(P336=AS_DEV_EFFORT, DEV_EFFORT*Q336%,
                           IF(P336=AS_DURATION_EFFORT, (MANUAL_DURATION*5)*Q336%,
                                    (IF(Q336&lt;=1,X336,
                                          IF(SUM(U336:W336)=0,(Q336*X336),
                                               (((Q336*U336)*(X336+(X336*EXTRA_FOR_H)))+
                                               ((Q336*V336)*X336)+
                                               ((Q336*W336)*(X336-(X336*LESS_FOR_L)))
                                    )*IF(R336=0,1,R336))))))+Z336), 0.25)</f>
        <v>0</v>
      </c>
      <c r="Z336" s="25"/>
      <c r="AA336" s="169">
        <f>Y336+Y336*VLOOKUP(I336,EXTRAS_ARRAY,2,FALSE)</f>
        <v>0</v>
      </c>
      <c r="AB336" s="23" t="s">
        <v>445</v>
      </c>
      <c r="AC336" s="37"/>
      <c r="AD336" s="26" t="str">
        <f>IF(J336&lt;&gt;"Yes",
IF(S336&lt;=0,"Error: Effort value is not defined or is invalid.",
IF(AND(SUM(U336:W336)&gt;0,SUM(U336:W336)&lt;&gt;1),"Error: Complexity % distribution should sum to 100%.",
IF(AND(P336=AS_DEV_EFFORT,X336&lt;&gt;0),"Error: PDs should not be defined when defining as dev effort %.",
IF(AND(P336=AS_DURATION_EFFORT,X336&lt;&gt;0),"Error: PDs should not be defined when defining as duration effort %.","")))))</f>
        <v>Error: Effort value is not defined or is invalid.</v>
      </c>
    </row>
    <row r="337" spans="1:30" s="11" customFormat="1" ht="7.5" hidden="1" customHeight="1" outlineLevel="2" x14ac:dyDescent="0.3">
      <c r="A337" s="93" t="s">
        <v>132</v>
      </c>
      <c r="B337" s="18"/>
      <c r="C337" s="78"/>
      <c r="D337" s="78"/>
      <c r="E337" s="78"/>
      <c r="F337" s="78"/>
      <c r="G337" s="10"/>
      <c r="H337" s="10"/>
      <c r="I337" s="10"/>
      <c r="J337" s="10"/>
      <c r="K337" s="10"/>
      <c r="L337" s="10"/>
      <c r="M337" s="289"/>
      <c r="N337" s="10"/>
      <c r="O337" s="10"/>
      <c r="P337" s="10"/>
      <c r="Q337" s="10"/>
      <c r="R337" s="10"/>
      <c r="S337" s="10"/>
      <c r="T337" s="18"/>
      <c r="U337" s="10"/>
      <c r="V337" s="10"/>
      <c r="W337" s="10"/>
      <c r="X337" s="18"/>
      <c r="Y337" s="10"/>
      <c r="Z337" s="10"/>
      <c r="AA337" s="10"/>
      <c r="AB337" s="60"/>
      <c r="AC337" s="60"/>
      <c r="AD337" s="12"/>
    </row>
    <row r="338" spans="1:30" s="11" customFormat="1" ht="1.5" hidden="1" customHeight="1" outlineLevel="1" x14ac:dyDescent="0.3">
      <c r="A338" s="93" t="s">
        <v>102</v>
      </c>
      <c r="B338" s="10"/>
      <c r="C338" s="78"/>
      <c r="D338" s="78"/>
      <c r="E338" s="78"/>
      <c r="F338" s="78"/>
      <c r="G338" s="59"/>
      <c r="H338" s="59"/>
      <c r="I338" s="59"/>
      <c r="J338" s="59"/>
      <c r="K338" s="59"/>
      <c r="L338" s="61"/>
      <c r="M338" s="290"/>
      <c r="N338" s="62"/>
      <c r="O338" s="62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2"/>
      <c r="AC338" s="62"/>
      <c r="AD338" s="12"/>
    </row>
    <row r="339" spans="1:30" hidden="1" collapsed="1" x14ac:dyDescent="0.3"/>
    <row r="340" spans="1:30" s="17" customFormat="1" ht="15.6" hidden="1" outlineLevel="1" x14ac:dyDescent="0.3">
      <c r="A340" s="93" t="s">
        <v>107</v>
      </c>
      <c r="B340" s="21"/>
      <c r="C340" s="84"/>
      <c r="D340" s="84"/>
      <c r="E340" s="84"/>
      <c r="F340" s="83"/>
      <c r="G340" s="185"/>
      <c r="H340" s="185"/>
      <c r="I340" s="185"/>
      <c r="J340" s="185"/>
      <c r="K340" s="185"/>
      <c r="L340" s="92" t="s">
        <v>109</v>
      </c>
      <c r="M340" s="336" t="s">
        <v>124</v>
      </c>
      <c r="N340" s="336"/>
      <c r="O340" s="87"/>
      <c r="P340" s="88"/>
      <c r="Q340" s="88"/>
      <c r="R340" s="88"/>
      <c r="S340" s="320">
        <f>SUMGROUP(ROW(), "T")</f>
        <v>0</v>
      </c>
      <c r="T340" s="320"/>
      <c r="U340" s="329"/>
      <c r="V340" s="329"/>
      <c r="W340" s="329"/>
      <c r="X340" s="89"/>
      <c r="Y340" s="90"/>
      <c r="Z340" s="90"/>
      <c r="AA340" s="90"/>
      <c r="AB340" s="245"/>
      <c r="AC340" s="91"/>
      <c r="AD340" s="26" t="str">
        <f>IF(M340="", "Error: Module name cannot be empty.", "")</f>
        <v/>
      </c>
    </row>
    <row r="341" spans="1:30" hidden="1" x14ac:dyDescent="0.3"/>
    <row r="342" spans="1:30" s="11" customFormat="1" ht="20.25" customHeight="1" x14ac:dyDescent="0.3">
      <c r="A342" s="93"/>
      <c r="B342" s="10"/>
      <c r="C342" s="78"/>
      <c r="D342" s="78"/>
      <c r="E342" s="78"/>
      <c r="F342" s="78"/>
      <c r="G342" s="43"/>
      <c r="H342" s="43"/>
      <c r="I342" s="43"/>
      <c r="J342" s="43"/>
      <c r="K342" s="43"/>
      <c r="L342" s="43"/>
      <c r="M342" s="28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12"/>
    </row>
  </sheetData>
  <sheetProtection algorithmName="SHA-512" hashValue="7m9ACLzAkItOHUEA9qnq0SXkJCtVS+/puMvUjA6eRQUEJNdKZ/+W8vsOrLZ5aDhO+/4LEov8AWpCt07Y/srwXw==" saltValue="RZMwts5CMIDWSzdkf5krLQ==" spinCount="100000" sheet="1" objects="1" scenarios="1"/>
  <dataConsolidate/>
  <mergeCells count="76">
    <mergeCell ref="M136:N136"/>
    <mergeCell ref="M140:N140"/>
    <mergeCell ref="M144:N144"/>
    <mergeCell ref="M109:N109"/>
    <mergeCell ref="M116:N116"/>
    <mergeCell ref="M123:N123"/>
    <mergeCell ref="M131:N131"/>
    <mergeCell ref="M97:N97"/>
    <mergeCell ref="M104:N104"/>
    <mergeCell ref="M60:N60"/>
    <mergeCell ref="M92:N92"/>
    <mergeCell ref="S92:T92"/>
    <mergeCell ref="M93:N93"/>
    <mergeCell ref="U92:W92"/>
    <mergeCell ref="M19:N19"/>
    <mergeCell ref="M24:N24"/>
    <mergeCell ref="M39:N39"/>
    <mergeCell ref="M44:N44"/>
    <mergeCell ref="M51:N51"/>
    <mergeCell ref="S32:T32"/>
    <mergeCell ref="U85:W85"/>
    <mergeCell ref="M70:N70"/>
    <mergeCell ref="M86:N86"/>
    <mergeCell ref="M77:N77"/>
    <mergeCell ref="M85:N85"/>
    <mergeCell ref="Y197:AA201"/>
    <mergeCell ref="U10:W10"/>
    <mergeCell ref="M163:T164"/>
    <mergeCell ref="W185:X186"/>
    <mergeCell ref="W187:X187"/>
    <mergeCell ref="W188:X188"/>
    <mergeCell ref="W189:X189"/>
    <mergeCell ref="W190:X190"/>
    <mergeCell ref="W191:X191"/>
    <mergeCell ref="W192:X192"/>
    <mergeCell ref="W193:X193"/>
    <mergeCell ref="Q193:V193"/>
    <mergeCell ref="M14:N14"/>
    <mergeCell ref="M34:N34"/>
    <mergeCell ref="W195:X196"/>
    <mergeCell ref="S11:T11"/>
    <mergeCell ref="C2:F9"/>
    <mergeCell ref="C10:F10"/>
    <mergeCell ref="G9:J9"/>
    <mergeCell ref="I5:J5"/>
    <mergeCell ref="G161:H161"/>
    <mergeCell ref="C11:F11"/>
    <mergeCell ref="C12:E12"/>
    <mergeCell ref="AB5:AB6"/>
    <mergeCell ref="P10:R10"/>
    <mergeCell ref="G182:H182"/>
    <mergeCell ref="U340:W340"/>
    <mergeCell ref="Q195:V195"/>
    <mergeCell ref="P185:P186"/>
    <mergeCell ref="G210:H210"/>
    <mergeCell ref="G330:H330"/>
    <mergeCell ref="Q184:V184"/>
    <mergeCell ref="O185:O186"/>
    <mergeCell ref="N222:N224"/>
    <mergeCell ref="P248:R251"/>
    <mergeCell ref="P253:Q254"/>
    <mergeCell ref="P261:Q263"/>
    <mergeCell ref="M340:N340"/>
    <mergeCell ref="M334:N334"/>
    <mergeCell ref="S12:T12"/>
    <mergeCell ref="S68:T68"/>
    <mergeCell ref="S102:T102"/>
    <mergeCell ref="S129:T129"/>
    <mergeCell ref="S85:T85"/>
    <mergeCell ref="M154:N154"/>
    <mergeCell ref="S332:T332"/>
    <mergeCell ref="S340:T340"/>
    <mergeCell ref="S152:T152"/>
    <mergeCell ref="S159:T159"/>
    <mergeCell ref="T204:U204"/>
    <mergeCell ref="T203:U203"/>
  </mergeCells>
  <conditionalFormatting sqref="B187">
    <cfRule type="cellIs" dxfId="688" priority="9118" operator="equal">
      <formula>"."</formula>
    </cfRule>
  </conditionalFormatting>
  <conditionalFormatting sqref="C184:E184 C203:E206">
    <cfRule type="expression" dxfId="687" priority="8998">
      <formula>$H184&lt;&gt;""</formula>
    </cfRule>
  </conditionalFormatting>
  <conditionalFormatting sqref="C185:E193">
    <cfRule type="expression" dxfId="686" priority="8996">
      <formula>$H185&lt;&gt;""</formula>
    </cfRule>
  </conditionalFormatting>
  <conditionalFormatting sqref="B185">
    <cfRule type="cellIs" dxfId="685" priority="8992" operator="equal">
      <formula>"."</formula>
    </cfRule>
  </conditionalFormatting>
  <conditionalFormatting sqref="B336">
    <cfRule type="expression" dxfId="684" priority="8887">
      <formula>AD336&lt;&gt;""</formula>
    </cfRule>
  </conditionalFormatting>
  <conditionalFormatting sqref="Z336">
    <cfRule type="cellIs" dxfId="683" priority="8885" operator="greaterThan">
      <formula>0</formula>
    </cfRule>
    <cfRule type="cellIs" dxfId="682" priority="8886" operator="lessThan">
      <formula>0</formula>
    </cfRule>
  </conditionalFormatting>
  <conditionalFormatting sqref="S336">
    <cfRule type="cellIs" dxfId="681" priority="8884" operator="lessThan">
      <formula>0</formula>
    </cfRule>
  </conditionalFormatting>
  <conditionalFormatting sqref="T334:T335">
    <cfRule type="expression" dxfId="680" priority="8888">
      <formula>#REF!="Yes"</formula>
    </cfRule>
  </conditionalFormatting>
  <conditionalFormatting sqref="P336">
    <cfRule type="cellIs" dxfId="679" priority="8881" operator="equal">
      <formula>AS_DURATION_EFFORT</formula>
    </cfRule>
    <cfRule type="cellIs" dxfId="678" priority="8882" operator="equal">
      <formula>AS_DEV_EFFORT</formula>
    </cfRule>
  </conditionalFormatting>
  <conditionalFormatting sqref="S340">
    <cfRule type="expression" dxfId="677" priority="8697">
      <formula>#REF!="Yes"</formula>
    </cfRule>
  </conditionalFormatting>
  <conditionalFormatting sqref="B332">
    <cfRule type="expression" dxfId="676" priority="8689">
      <formula>AD332&lt;&gt;""</formula>
    </cfRule>
  </conditionalFormatting>
  <conditionalFormatting sqref="B334:B335">
    <cfRule type="expression" dxfId="675" priority="8688">
      <formula>AD334&lt;&gt;""</formula>
    </cfRule>
  </conditionalFormatting>
  <conditionalFormatting sqref="B340">
    <cfRule type="expression" dxfId="674" priority="8687">
      <formula>AD340&lt;&gt;""</formula>
    </cfRule>
  </conditionalFormatting>
  <conditionalFormatting sqref="L16:AC17 L21:AC22 L26:AC29 L41:AC41 L36:AC37 L46:AC49 L53:AC58 L72:AC75 L79:AC83 L62:AC65 L146:AC149 L156:AC156 L99:AC99 L95:AC95 L106:AC107 L111:AC114 L118:AC121 L125:AC126 L133:AC134 L138:AC138 L142:AC142 L336:AC336 L88:AC90">
    <cfRule type="expression" dxfId="673" priority="10976">
      <formula>AND($G16="Yes", $S$6="Exclude")</formula>
    </cfRule>
    <cfRule type="expression" dxfId="672" priority="10977">
      <formula>$J16="Yes"</formula>
    </cfRule>
  </conditionalFormatting>
  <conditionalFormatting sqref="T5">
    <cfRule type="expression" dxfId="671" priority="8270">
      <formula>OR($S$5="Reduce by:", $S$5="Increase by:")</formula>
    </cfRule>
  </conditionalFormatting>
  <conditionalFormatting sqref="F336">
    <cfRule type="expression" dxfId="670" priority="5520">
      <formula>$K336&lt;&gt;""</formula>
    </cfRule>
  </conditionalFormatting>
  <conditionalFormatting sqref="C336">
    <cfRule type="expression" dxfId="669" priority="5476">
      <formula>$G336&lt;&gt;"-"</formula>
    </cfRule>
  </conditionalFormatting>
  <conditionalFormatting sqref="D336">
    <cfRule type="expression" dxfId="668" priority="5474">
      <formula>$H336&lt;&gt;"-"</formula>
    </cfRule>
  </conditionalFormatting>
  <conditionalFormatting sqref="E336">
    <cfRule type="expression" dxfId="667" priority="5473">
      <formula>$I336&lt;&gt;"-"</formula>
    </cfRule>
  </conditionalFormatting>
  <conditionalFormatting sqref="B188">
    <cfRule type="cellIs" dxfId="666" priority="1917" operator="equal">
      <formula>"."</formula>
    </cfRule>
  </conditionalFormatting>
  <conditionalFormatting sqref="B189">
    <cfRule type="cellIs" dxfId="665" priority="1916" operator="equal">
      <formula>"."</formula>
    </cfRule>
  </conditionalFormatting>
  <conditionalFormatting sqref="B190">
    <cfRule type="cellIs" dxfId="664" priority="1915" operator="equal">
      <formula>"."</formula>
    </cfRule>
  </conditionalFormatting>
  <conditionalFormatting sqref="B191">
    <cfRule type="cellIs" dxfId="663" priority="1914" operator="equal">
      <formula>"."</formula>
    </cfRule>
  </conditionalFormatting>
  <conditionalFormatting sqref="B192">
    <cfRule type="cellIs" dxfId="662" priority="1913" operator="equal">
      <formula>"."</formula>
    </cfRule>
  </conditionalFormatting>
  <conditionalFormatting sqref="B16">
    <cfRule type="expression" dxfId="661" priority="1909">
      <formula>AD16&lt;&gt;""</formula>
    </cfRule>
  </conditionalFormatting>
  <conditionalFormatting sqref="Z16">
    <cfRule type="cellIs" dxfId="660" priority="1907" operator="greaterThan">
      <formula>0</formula>
    </cfRule>
    <cfRule type="cellIs" dxfId="659" priority="1908" operator="lessThan">
      <formula>0</formula>
    </cfRule>
  </conditionalFormatting>
  <conditionalFormatting sqref="S16">
    <cfRule type="cellIs" dxfId="658" priority="1906" operator="lessThan">
      <formula>0</formula>
    </cfRule>
  </conditionalFormatting>
  <conditionalFormatting sqref="T14:T15">
    <cfRule type="expression" dxfId="657" priority="1910">
      <formula>#REF!="Yes"</formula>
    </cfRule>
  </conditionalFormatting>
  <conditionalFormatting sqref="P16">
    <cfRule type="cellIs" dxfId="656" priority="1904" operator="equal">
      <formula>AS_DURATION_EFFORT</formula>
    </cfRule>
    <cfRule type="cellIs" dxfId="655" priority="1905" operator="equal">
      <formula>AS_DEV_EFFORT</formula>
    </cfRule>
  </conditionalFormatting>
  <conditionalFormatting sqref="B14:B15">
    <cfRule type="expression" dxfId="654" priority="1903">
      <formula>AD14&lt;&gt;""</formula>
    </cfRule>
  </conditionalFormatting>
  <conditionalFormatting sqref="F16">
    <cfRule type="expression" dxfId="653" priority="1902">
      <formula>$K16&lt;&gt;""</formula>
    </cfRule>
  </conditionalFormatting>
  <conditionalFormatting sqref="C16">
    <cfRule type="expression" dxfId="652" priority="1901">
      <formula>$G16&lt;&gt;"-"</formula>
    </cfRule>
  </conditionalFormatting>
  <conditionalFormatting sqref="D16">
    <cfRule type="expression" dxfId="651" priority="1900">
      <formula>$H16&lt;&gt;"-"</formula>
    </cfRule>
  </conditionalFormatting>
  <conditionalFormatting sqref="E16">
    <cfRule type="expression" dxfId="650" priority="1899">
      <formula>$I16&lt;&gt;"-"</formula>
    </cfRule>
  </conditionalFormatting>
  <conditionalFormatting sqref="B17">
    <cfRule type="expression" dxfId="649" priority="1896">
      <formula>AD17&lt;&gt;""</formula>
    </cfRule>
  </conditionalFormatting>
  <conditionalFormatting sqref="Z17">
    <cfRule type="cellIs" dxfId="648" priority="1894" operator="greaterThan">
      <formula>0</formula>
    </cfRule>
    <cfRule type="cellIs" dxfId="647" priority="1895" operator="lessThan">
      <formula>0</formula>
    </cfRule>
  </conditionalFormatting>
  <conditionalFormatting sqref="S17">
    <cfRule type="cellIs" dxfId="646" priority="1893" operator="lessThan">
      <formula>0</formula>
    </cfRule>
  </conditionalFormatting>
  <conditionalFormatting sqref="P17">
    <cfRule type="cellIs" dxfId="645" priority="1891" operator="equal">
      <formula>AS_DURATION_EFFORT</formula>
    </cfRule>
    <cfRule type="cellIs" dxfId="644" priority="1892" operator="equal">
      <formula>AS_DEV_EFFORT</formula>
    </cfRule>
  </conditionalFormatting>
  <conditionalFormatting sqref="F17">
    <cfRule type="expression" dxfId="643" priority="1890">
      <formula>$K17&lt;&gt;""</formula>
    </cfRule>
  </conditionalFormatting>
  <conditionalFormatting sqref="C17">
    <cfRule type="expression" dxfId="642" priority="1889">
      <formula>$G17&lt;&gt;"-"</formula>
    </cfRule>
  </conditionalFormatting>
  <conditionalFormatting sqref="D17">
    <cfRule type="expression" dxfId="641" priority="1888">
      <formula>$H17&lt;&gt;"-"</formula>
    </cfRule>
  </conditionalFormatting>
  <conditionalFormatting sqref="E17">
    <cfRule type="expression" dxfId="640" priority="1887">
      <formula>$I17&lt;&gt;"-"</formula>
    </cfRule>
  </conditionalFormatting>
  <conditionalFormatting sqref="B36">
    <cfRule type="expression" dxfId="639" priority="1883">
      <formula>AD36&lt;&gt;""</formula>
    </cfRule>
  </conditionalFormatting>
  <conditionalFormatting sqref="Z36">
    <cfRule type="cellIs" dxfId="638" priority="1881" operator="greaterThan">
      <formula>0</formula>
    </cfRule>
    <cfRule type="cellIs" dxfId="637" priority="1882" operator="lessThan">
      <formula>0</formula>
    </cfRule>
  </conditionalFormatting>
  <conditionalFormatting sqref="S36">
    <cfRule type="cellIs" dxfId="636" priority="1880" operator="lessThan">
      <formula>0</formula>
    </cfRule>
  </conditionalFormatting>
  <conditionalFormatting sqref="T34:T35">
    <cfRule type="expression" dxfId="635" priority="1884">
      <formula>#REF!="Yes"</formula>
    </cfRule>
  </conditionalFormatting>
  <conditionalFormatting sqref="P36">
    <cfRule type="cellIs" dxfId="634" priority="1878" operator="equal">
      <formula>AS_DURATION_EFFORT</formula>
    </cfRule>
    <cfRule type="cellIs" dxfId="633" priority="1879" operator="equal">
      <formula>AS_DEV_EFFORT</formula>
    </cfRule>
  </conditionalFormatting>
  <conditionalFormatting sqref="B34:B35">
    <cfRule type="expression" dxfId="632" priority="1877">
      <formula>AD34&lt;&gt;""</formula>
    </cfRule>
  </conditionalFormatting>
  <conditionalFormatting sqref="F36">
    <cfRule type="expression" dxfId="631" priority="1876">
      <formula>$K36&lt;&gt;""</formula>
    </cfRule>
  </conditionalFormatting>
  <conditionalFormatting sqref="C36">
    <cfRule type="expression" dxfId="630" priority="1875">
      <formula>$G36&lt;&gt;"-"</formula>
    </cfRule>
  </conditionalFormatting>
  <conditionalFormatting sqref="D36">
    <cfRule type="expression" dxfId="629" priority="1874">
      <formula>$H36&lt;&gt;"-"</formula>
    </cfRule>
  </conditionalFormatting>
  <conditionalFormatting sqref="E36">
    <cfRule type="expression" dxfId="628" priority="1873">
      <formula>$I36&lt;&gt;"-"</formula>
    </cfRule>
  </conditionalFormatting>
  <conditionalFormatting sqref="B72">
    <cfRule type="expression" dxfId="627" priority="1813">
      <formula>AD72&lt;&gt;""</formula>
    </cfRule>
  </conditionalFormatting>
  <conditionalFormatting sqref="Z72">
    <cfRule type="cellIs" dxfId="626" priority="1811" operator="greaterThan">
      <formula>0</formula>
    </cfRule>
    <cfRule type="cellIs" dxfId="625" priority="1812" operator="lessThan">
      <formula>0</formula>
    </cfRule>
  </conditionalFormatting>
  <conditionalFormatting sqref="S72">
    <cfRule type="cellIs" dxfId="624" priority="1810" operator="lessThan">
      <formula>0</formula>
    </cfRule>
  </conditionalFormatting>
  <conditionalFormatting sqref="T70:T71">
    <cfRule type="expression" dxfId="623" priority="1814">
      <formula>#REF!="Yes"</formula>
    </cfRule>
  </conditionalFormatting>
  <conditionalFormatting sqref="P72">
    <cfRule type="cellIs" dxfId="622" priority="1808" operator="equal">
      <formula>AS_DURATION_EFFORT</formula>
    </cfRule>
    <cfRule type="cellIs" dxfId="621" priority="1809" operator="equal">
      <formula>AS_DEV_EFFORT</formula>
    </cfRule>
  </conditionalFormatting>
  <conditionalFormatting sqref="B70:B71">
    <cfRule type="expression" dxfId="620" priority="1807">
      <formula>AD70&lt;&gt;""</formula>
    </cfRule>
  </conditionalFormatting>
  <conditionalFormatting sqref="F72">
    <cfRule type="expression" dxfId="619" priority="1806">
      <formula>$K72&lt;&gt;""</formula>
    </cfRule>
  </conditionalFormatting>
  <conditionalFormatting sqref="C72">
    <cfRule type="expression" dxfId="618" priority="1805">
      <formula>$G72&lt;&gt;"-"</formula>
    </cfRule>
  </conditionalFormatting>
  <conditionalFormatting sqref="D72">
    <cfRule type="expression" dxfId="617" priority="1804">
      <formula>$H72&lt;&gt;"-"</formula>
    </cfRule>
  </conditionalFormatting>
  <conditionalFormatting sqref="E72">
    <cfRule type="expression" dxfId="616" priority="1803">
      <formula>$I72&lt;&gt;"-"</formula>
    </cfRule>
  </conditionalFormatting>
  <conditionalFormatting sqref="B95">
    <cfRule type="expression" dxfId="615" priority="1799">
      <formula>AD95&lt;&gt;""</formula>
    </cfRule>
  </conditionalFormatting>
  <conditionalFormatting sqref="Z95">
    <cfRule type="cellIs" dxfId="614" priority="1797" operator="greaterThan">
      <formula>0</formula>
    </cfRule>
    <cfRule type="cellIs" dxfId="613" priority="1798" operator="lessThan">
      <formula>0</formula>
    </cfRule>
  </conditionalFormatting>
  <conditionalFormatting sqref="S95">
    <cfRule type="cellIs" dxfId="612" priority="1796" operator="lessThan">
      <formula>0</formula>
    </cfRule>
  </conditionalFormatting>
  <conditionalFormatting sqref="T93:T94">
    <cfRule type="expression" dxfId="611" priority="1800">
      <formula>#REF!="Yes"</formula>
    </cfRule>
  </conditionalFormatting>
  <conditionalFormatting sqref="P95">
    <cfRule type="cellIs" dxfId="610" priority="1794" operator="equal">
      <formula>AS_DURATION_EFFORT</formula>
    </cfRule>
    <cfRule type="cellIs" dxfId="609" priority="1795" operator="equal">
      <formula>AS_DEV_EFFORT</formula>
    </cfRule>
  </conditionalFormatting>
  <conditionalFormatting sqref="B93:B94">
    <cfRule type="expression" dxfId="608" priority="1793">
      <formula>AD93&lt;&gt;""</formula>
    </cfRule>
  </conditionalFormatting>
  <conditionalFormatting sqref="F95">
    <cfRule type="expression" dxfId="607" priority="1792">
      <formula>$K95&lt;&gt;""</formula>
    </cfRule>
  </conditionalFormatting>
  <conditionalFormatting sqref="C95">
    <cfRule type="expression" dxfId="606" priority="1791">
      <formula>$G95&lt;&gt;"-"</formula>
    </cfRule>
  </conditionalFormatting>
  <conditionalFormatting sqref="D95">
    <cfRule type="expression" dxfId="605" priority="1790">
      <formula>$H95&lt;&gt;"-"</formula>
    </cfRule>
  </conditionalFormatting>
  <conditionalFormatting sqref="E95">
    <cfRule type="expression" dxfId="604" priority="1789">
      <formula>$I95&lt;&gt;"-"</formula>
    </cfRule>
  </conditionalFormatting>
  <conditionalFormatting sqref="B88">
    <cfRule type="expression" dxfId="603" priority="1785">
      <formula>AD88&lt;&gt;""</formula>
    </cfRule>
  </conditionalFormatting>
  <conditionalFormatting sqref="Z88">
    <cfRule type="cellIs" dxfId="602" priority="1783" operator="greaterThan">
      <formula>0</formula>
    </cfRule>
    <cfRule type="cellIs" dxfId="601" priority="1784" operator="lessThan">
      <formula>0</formula>
    </cfRule>
  </conditionalFormatting>
  <conditionalFormatting sqref="S88">
    <cfRule type="cellIs" dxfId="600" priority="1782" operator="lessThan">
      <formula>0</formula>
    </cfRule>
  </conditionalFormatting>
  <conditionalFormatting sqref="T86:T87">
    <cfRule type="expression" dxfId="599" priority="1786">
      <formula>#REF!="Yes"</formula>
    </cfRule>
  </conditionalFormatting>
  <conditionalFormatting sqref="P88">
    <cfRule type="cellIs" dxfId="598" priority="1780" operator="equal">
      <formula>AS_DURATION_EFFORT</formula>
    </cfRule>
    <cfRule type="cellIs" dxfId="597" priority="1781" operator="equal">
      <formula>AS_DEV_EFFORT</formula>
    </cfRule>
  </conditionalFormatting>
  <conditionalFormatting sqref="B86:B87">
    <cfRule type="expression" dxfId="596" priority="1779">
      <formula>AD86&lt;&gt;""</formula>
    </cfRule>
  </conditionalFormatting>
  <conditionalFormatting sqref="F88">
    <cfRule type="expression" dxfId="595" priority="1778">
      <formula>$K88&lt;&gt;""</formula>
    </cfRule>
  </conditionalFormatting>
  <conditionalFormatting sqref="C88">
    <cfRule type="expression" dxfId="594" priority="1777">
      <formula>$G88&lt;&gt;"-"</formula>
    </cfRule>
  </conditionalFormatting>
  <conditionalFormatting sqref="D88">
    <cfRule type="expression" dxfId="593" priority="1776">
      <formula>$H88&lt;&gt;"-"</formula>
    </cfRule>
  </conditionalFormatting>
  <conditionalFormatting sqref="E88">
    <cfRule type="expression" dxfId="592" priority="1775">
      <formula>$I88&lt;&gt;"-"</formula>
    </cfRule>
  </conditionalFormatting>
  <conditionalFormatting sqref="B79">
    <cfRule type="expression" dxfId="591" priority="1771">
      <formula>AD79&lt;&gt;""</formula>
    </cfRule>
  </conditionalFormatting>
  <conditionalFormatting sqref="Z79">
    <cfRule type="cellIs" dxfId="590" priority="1769" operator="greaterThan">
      <formula>0</formula>
    </cfRule>
    <cfRule type="cellIs" dxfId="589" priority="1770" operator="lessThan">
      <formula>0</formula>
    </cfRule>
  </conditionalFormatting>
  <conditionalFormatting sqref="S79">
    <cfRule type="cellIs" dxfId="588" priority="1768" operator="lessThan">
      <formula>0</formula>
    </cfRule>
  </conditionalFormatting>
  <conditionalFormatting sqref="T77:T78">
    <cfRule type="expression" dxfId="587" priority="1772">
      <formula>#REF!="Yes"</formula>
    </cfRule>
  </conditionalFormatting>
  <conditionalFormatting sqref="P79">
    <cfRule type="cellIs" dxfId="586" priority="1766" operator="equal">
      <formula>AS_DURATION_EFFORT</formula>
    </cfRule>
    <cfRule type="cellIs" dxfId="585" priority="1767" operator="equal">
      <formula>AS_DEV_EFFORT</formula>
    </cfRule>
  </conditionalFormatting>
  <conditionalFormatting sqref="B77:B78">
    <cfRule type="expression" dxfId="584" priority="1765">
      <formula>AD77&lt;&gt;""</formula>
    </cfRule>
  </conditionalFormatting>
  <conditionalFormatting sqref="F79">
    <cfRule type="expression" dxfId="583" priority="1764">
      <formula>$K79&lt;&gt;""</formula>
    </cfRule>
  </conditionalFormatting>
  <conditionalFormatting sqref="C79">
    <cfRule type="expression" dxfId="582" priority="1763">
      <formula>$G79&lt;&gt;"-"</formula>
    </cfRule>
  </conditionalFormatting>
  <conditionalFormatting sqref="D79">
    <cfRule type="expression" dxfId="581" priority="1762">
      <formula>$H79&lt;&gt;"-"</formula>
    </cfRule>
  </conditionalFormatting>
  <conditionalFormatting sqref="E79">
    <cfRule type="expression" dxfId="580" priority="1761">
      <formula>$I79&lt;&gt;"-"</formula>
    </cfRule>
  </conditionalFormatting>
  <conditionalFormatting sqref="S85">
    <cfRule type="expression" dxfId="579" priority="1756">
      <formula>#REF!="Yes"</formula>
    </cfRule>
  </conditionalFormatting>
  <conditionalFormatting sqref="B85">
    <cfRule type="expression" dxfId="578" priority="1755">
      <formula>AD85&lt;&gt;""</formula>
    </cfRule>
  </conditionalFormatting>
  <conditionalFormatting sqref="B21">
    <cfRule type="expression" dxfId="577" priority="1751">
      <formula>AD21&lt;&gt;""</formula>
    </cfRule>
  </conditionalFormatting>
  <conditionalFormatting sqref="Z21">
    <cfRule type="cellIs" dxfId="576" priority="1749" operator="greaterThan">
      <formula>0</formula>
    </cfRule>
    <cfRule type="cellIs" dxfId="575" priority="1750" operator="lessThan">
      <formula>0</formula>
    </cfRule>
  </conditionalFormatting>
  <conditionalFormatting sqref="S21">
    <cfRule type="cellIs" dxfId="574" priority="1748" operator="lessThan">
      <formula>0</formula>
    </cfRule>
  </conditionalFormatting>
  <conditionalFormatting sqref="T19:T20">
    <cfRule type="expression" dxfId="573" priority="1752">
      <formula>#REF!="Yes"</formula>
    </cfRule>
  </conditionalFormatting>
  <conditionalFormatting sqref="P21">
    <cfRule type="cellIs" dxfId="572" priority="1746" operator="equal">
      <formula>AS_DURATION_EFFORT</formula>
    </cfRule>
    <cfRule type="cellIs" dxfId="571" priority="1747" operator="equal">
      <formula>AS_DEV_EFFORT</formula>
    </cfRule>
  </conditionalFormatting>
  <conditionalFormatting sqref="B19:B20">
    <cfRule type="expression" dxfId="570" priority="1745">
      <formula>AD19&lt;&gt;""</formula>
    </cfRule>
  </conditionalFormatting>
  <conditionalFormatting sqref="F21">
    <cfRule type="expression" dxfId="569" priority="1744">
      <formula>$K21&lt;&gt;""</formula>
    </cfRule>
  </conditionalFormatting>
  <conditionalFormatting sqref="C21">
    <cfRule type="expression" dxfId="568" priority="1743">
      <formula>$G21&lt;&gt;"-"</formula>
    </cfRule>
  </conditionalFormatting>
  <conditionalFormatting sqref="D21">
    <cfRule type="expression" dxfId="567" priority="1742">
      <formula>$H21&lt;&gt;"-"</formula>
    </cfRule>
  </conditionalFormatting>
  <conditionalFormatting sqref="E21">
    <cfRule type="expression" dxfId="566" priority="1741">
      <formula>$I21&lt;&gt;"-"</formula>
    </cfRule>
  </conditionalFormatting>
  <conditionalFormatting sqref="B22">
    <cfRule type="expression" dxfId="565" priority="1738">
      <formula>AD22&lt;&gt;""</formula>
    </cfRule>
  </conditionalFormatting>
  <conditionalFormatting sqref="Z22">
    <cfRule type="cellIs" dxfId="564" priority="1736" operator="greaterThan">
      <formula>0</formula>
    </cfRule>
    <cfRule type="cellIs" dxfId="563" priority="1737" operator="lessThan">
      <formula>0</formula>
    </cfRule>
  </conditionalFormatting>
  <conditionalFormatting sqref="S22">
    <cfRule type="cellIs" dxfId="562" priority="1735" operator="lessThan">
      <formula>0</formula>
    </cfRule>
  </conditionalFormatting>
  <conditionalFormatting sqref="P22">
    <cfRule type="cellIs" dxfId="561" priority="1733" operator="equal">
      <formula>AS_DURATION_EFFORT</formula>
    </cfRule>
    <cfRule type="cellIs" dxfId="560" priority="1734" operator="equal">
      <formula>AS_DEV_EFFORT</formula>
    </cfRule>
  </conditionalFormatting>
  <conditionalFormatting sqref="F22">
    <cfRule type="expression" dxfId="559" priority="1732">
      <formula>$K22&lt;&gt;""</formula>
    </cfRule>
  </conditionalFormatting>
  <conditionalFormatting sqref="C22">
    <cfRule type="expression" dxfId="558" priority="1731">
      <formula>$G22&lt;&gt;"-"</formula>
    </cfRule>
  </conditionalFormatting>
  <conditionalFormatting sqref="D22">
    <cfRule type="expression" dxfId="557" priority="1730">
      <formula>$H22&lt;&gt;"-"</formula>
    </cfRule>
  </conditionalFormatting>
  <conditionalFormatting sqref="E22">
    <cfRule type="expression" dxfId="556" priority="1729">
      <formula>$I22&lt;&gt;"-"</formula>
    </cfRule>
  </conditionalFormatting>
  <conditionalFormatting sqref="B26">
    <cfRule type="expression" dxfId="555" priority="1725">
      <formula>AD26&lt;&gt;""</formula>
    </cfRule>
  </conditionalFormatting>
  <conditionalFormatting sqref="Z26">
    <cfRule type="cellIs" dxfId="554" priority="1723" operator="greaterThan">
      <formula>0</formula>
    </cfRule>
    <cfRule type="cellIs" dxfId="553" priority="1724" operator="lessThan">
      <formula>0</formula>
    </cfRule>
  </conditionalFormatting>
  <conditionalFormatting sqref="S26">
    <cfRule type="cellIs" dxfId="552" priority="1722" operator="lessThan">
      <formula>0</formula>
    </cfRule>
  </conditionalFormatting>
  <conditionalFormatting sqref="T24:T25">
    <cfRule type="expression" dxfId="551" priority="1726">
      <formula>#REF!="Yes"</formula>
    </cfRule>
  </conditionalFormatting>
  <conditionalFormatting sqref="P26">
    <cfRule type="cellIs" dxfId="550" priority="1720" operator="equal">
      <formula>AS_DURATION_EFFORT</formula>
    </cfRule>
    <cfRule type="cellIs" dxfId="549" priority="1721" operator="equal">
      <formula>AS_DEV_EFFORT</formula>
    </cfRule>
  </conditionalFormatting>
  <conditionalFormatting sqref="B24:B25">
    <cfRule type="expression" dxfId="548" priority="1719">
      <formula>AD24&lt;&gt;""</formula>
    </cfRule>
  </conditionalFormatting>
  <conditionalFormatting sqref="F26">
    <cfRule type="expression" dxfId="547" priority="1718">
      <formula>$K26&lt;&gt;""</formula>
    </cfRule>
  </conditionalFormatting>
  <conditionalFormatting sqref="C26">
    <cfRule type="expression" dxfId="546" priority="1717">
      <formula>$G26&lt;&gt;"-"</formula>
    </cfRule>
  </conditionalFormatting>
  <conditionalFormatting sqref="D26">
    <cfRule type="expression" dxfId="545" priority="1716">
      <formula>$H26&lt;&gt;"-"</formula>
    </cfRule>
  </conditionalFormatting>
  <conditionalFormatting sqref="E26">
    <cfRule type="expression" dxfId="544" priority="1715">
      <formula>$I26&lt;&gt;"-"</formula>
    </cfRule>
  </conditionalFormatting>
  <conditionalFormatting sqref="B27">
    <cfRule type="expression" dxfId="543" priority="1712">
      <formula>AD27&lt;&gt;""</formula>
    </cfRule>
  </conditionalFormatting>
  <conditionalFormatting sqref="Z27">
    <cfRule type="cellIs" dxfId="542" priority="1710" operator="greaterThan">
      <formula>0</formula>
    </cfRule>
    <cfRule type="cellIs" dxfId="541" priority="1711" operator="lessThan">
      <formula>0</formula>
    </cfRule>
  </conditionalFormatting>
  <conditionalFormatting sqref="S27">
    <cfRule type="cellIs" dxfId="540" priority="1709" operator="lessThan">
      <formula>0</formula>
    </cfRule>
  </conditionalFormatting>
  <conditionalFormatting sqref="P27">
    <cfRule type="cellIs" dxfId="539" priority="1707" operator="equal">
      <formula>AS_DURATION_EFFORT</formula>
    </cfRule>
    <cfRule type="cellIs" dxfId="538" priority="1708" operator="equal">
      <formula>AS_DEV_EFFORT</formula>
    </cfRule>
  </conditionalFormatting>
  <conditionalFormatting sqref="F27">
    <cfRule type="expression" dxfId="537" priority="1706">
      <formula>$K27&lt;&gt;""</formula>
    </cfRule>
  </conditionalFormatting>
  <conditionalFormatting sqref="C27">
    <cfRule type="expression" dxfId="536" priority="1705">
      <formula>$G27&lt;&gt;"-"</formula>
    </cfRule>
  </conditionalFormatting>
  <conditionalFormatting sqref="D27">
    <cfRule type="expression" dxfId="535" priority="1704">
      <formula>$H27&lt;&gt;"-"</formula>
    </cfRule>
  </conditionalFormatting>
  <conditionalFormatting sqref="E27">
    <cfRule type="expression" dxfId="534" priority="1703">
      <formula>$I27&lt;&gt;"-"</formula>
    </cfRule>
  </conditionalFormatting>
  <conditionalFormatting sqref="B28">
    <cfRule type="expression" dxfId="533" priority="1700">
      <formula>AD28&lt;&gt;""</formula>
    </cfRule>
  </conditionalFormatting>
  <conditionalFormatting sqref="Z28">
    <cfRule type="cellIs" dxfId="532" priority="1698" operator="greaterThan">
      <formula>0</formula>
    </cfRule>
    <cfRule type="cellIs" dxfId="531" priority="1699" operator="lessThan">
      <formula>0</formula>
    </cfRule>
  </conditionalFormatting>
  <conditionalFormatting sqref="S28">
    <cfRule type="cellIs" dxfId="530" priority="1697" operator="lessThan">
      <formula>0</formula>
    </cfRule>
  </conditionalFormatting>
  <conditionalFormatting sqref="P28">
    <cfRule type="cellIs" dxfId="529" priority="1695" operator="equal">
      <formula>AS_DURATION_EFFORT</formula>
    </cfRule>
    <cfRule type="cellIs" dxfId="528" priority="1696" operator="equal">
      <formula>AS_DEV_EFFORT</formula>
    </cfRule>
  </conditionalFormatting>
  <conditionalFormatting sqref="F28">
    <cfRule type="expression" dxfId="527" priority="1694">
      <formula>$K28&lt;&gt;""</formula>
    </cfRule>
  </conditionalFormatting>
  <conditionalFormatting sqref="C28">
    <cfRule type="expression" dxfId="526" priority="1693">
      <formula>$G28&lt;&gt;"-"</formula>
    </cfRule>
  </conditionalFormatting>
  <conditionalFormatting sqref="D28">
    <cfRule type="expression" dxfId="525" priority="1692">
      <formula>$H28&lt;&gt;"-"</formula>
    </cfRule>
  </conditionalFormatting>
  <conditionalFormatting sqref="E28">
    <cfRule type="expression" dxfId="524" priority="1691">
      <formula>$I28&lt;&gt;"-"</formula>
    </cfRule>
  </conditionalFormatting>
  <conditionalFormatting sqref="B29">
    <cfRule type="expression" dxfId="523" priority="1688">
      <formula>AD29&lt;&gt;""</formula>
    </cfRule>
  </conditionalFormatting>
  <conditionalFormatting sqref="Z29">
    <cfRule type="cellIs" dxfId="522" priority="1686" operator="greaterThan">
      <formula>0</formula>
    </cfRule>
    <cfRule type="cellIs" dxfId="521" priority="1687" operator="lessThan">
      <formula>0</formula>
    </cfRule>
  </conditionalFormatting>
  <conditionalFormatting sqref="S29">
    <cfRule type="cellIs" dxfId="520" priority="1685" operator="lessThan">
      <formula>0</formula>
    </cfRule>
  </conditionalFormatting>
  <conditionalFormatting sqref="P29">
    <cfRule type="cellIs" dxfId="519" priority="1683" operator="equal">
      <formula>AS_DURATION_EFFORT</formula>
    </cfRule>
    <cfRule type="cellIs" dxfId="518" priority="1684" operator="equal">
      <formula>AS_DEV_EFFORT</formula>
    </cfRule>
  </conditionalFormatting>
  <conditionalFormatting sqref="F29">
    <cfRule type="expression" dxfId="517" priority="1682">
      <formula>$K29&lt;&gt;""</formula>
    </cfRule>
  </conditionalFormatting>
  <conditionalFormatting sqref="C29">
    <cfRule type="expression" dxfId="516" priority="1681">
      <formula>$G29&lt;&gt;"-"</formula>
    </cfRule>
  </conditionalFormatting>
  <conditionalFormatting sqref="D29">
    <cfRule type="expression" dxfId="515" priority="1680">
      <formula>$H29&lt;&gt;"-"</formula>
    </cfRule>
  </conditionalFormatting>
  <conditionalFormatting sqref="E29">
    <cfRule type="expression" dxfId="514" priority="1679">
      <formula>$I29&lt;&gt;"-"</formula>
    </cfRule>
  </conditionalFormatting>
  <conditionalFormatting sqref="B41">
    <cfRule type="expression" dxfId="513" priority="1675">
      <formula>AD41&lt;&gt;""</formula>
    </cfRule>
  </conditionalFormatting>
  <conditionalFormatting sqref="Z41">
    <cfRule type="cellIs" dxfId="512" priority="1673" operator="greaterThan">
      <formula>0</formula>
    </cfRule>
    <cfRule type="cellIs" dxfId="511" priority="1674" operator="lessThan">
      <formula>0</formula>
    </cfRule>
  </conditionalFormatting>
  <conditionalFormatting sqref="S41">
    <cfRule type="cellIs" dxfId="510" priority="1672" operator="lessThan">
      <formula>0</formula>
    </cfRule>
  </conditionalFormatting>
  <conditionalFormatting sqref="T39:T40">
    <cfRule type="expression" dxfId="509" priority="1676">
      <formula>#REF!="Yes"</formula>
    </cfRule>
  </conditionalFormatting>
  <conditionalFormatting sqref="P41">
    <cfRule type="cellIs" dxfId="508" priority="1670" operator="equal">
      <formula>AS_DURATION_EFFORT</formula>
    </cfRule>
    <cfRule type="cellIs" dxfId="507" priority="1671" operator="equal">
      <formula>AS_DEV_EFFORT</formula>
    </cfRule>
  </conditionalFormatting>
  <conditionalFormatting sqref="B39:B40">
    <cfRule type="expression" dxfId="506" priority="1669">
      <formula>AD39&lt;&gt;""</formula>
    </cfRule>
  </conditionalFormatting>
  <conditionalFormatting sqref="F41">
    <cfRule type="expression" dxfId="505" priority="1668">
      <formula>$K41&lt;&gt;""</formula>
    </cfRule>
  </conditionalFormatting>
  <conditionalFormatting sqref="C41">
    <cfRule type="expression" dxfId="504" priority="1667">
      <formula>$G41&lt;&gt;"-"</formula>
    </cfRule>
  </conditionalFormatting>
  <conditionalFormatting sqref="D41">
    <cfRule type="expression" dxfId="503" priority="1666">
      <formula>$H41&lt;&gt;"-"</formula>
    </cfRule>
  </conditionalFormatting>
  <conditionalFormatting sqref="E41">
    <cfRule type="expression" dxfId="502" priority="1665">
      <formula>$I41&lt;&gt;"-"</formula>
    </cfRule>
  </conditionalFormatting>
  <conditionalFormatting sqref="B46">
    <cfRule type="expression" dxfId="501" priority="1661">
      <formula>AD46&lt;&gt;""</formula>
    </cfRule>
  </conditionalFormatting>
  <conditionalFormatting sqref="Z46">
    <cfRule type="cellIs" dxfId="500" priority="1659" operator="greaterThan">
      <formula>0</formula>
    </cfRule>
    <cfRule type="cellIs" dxfId="499" priority="1660" operator="lessThan">
      <formula>0</formula>
    </cfRule>
  </conditionalFormatting>
  <conditionalFormatting sqref="S46">
    <cfRule type="cellIs" dxfId="498" priority="1658" operator="lessThan">
      <formula>0</formula>
    </cfRule>
  </conditionalFormatting>
  <conditionalFormatting sqref="T44:T45">
    <cfRule type="expression" dxfId="497" priority="1662">
      <formula>#REF!="Yes"</formula>
    </cfRule>
  </conditionalFormatting>
  <conditionalFormatting sqref="P46">
    <cfRule type="cellIs" dxfId="496" priority="1656" operator="equal">
      <formula>AS_DURATION_EFFORT</formula>
    </cfRule>
    <cfRule type="cellIs" dxfId="495" priority="1657" operator="equal">
      <formula>AS_DEV_EFFORT</formula>
    </cfRule>
  </conditionalFormatting>
  <conditionalFormatting sqref="B44:B45">
    <cfRule type="expression" dxfId="494" priority="1655">
      <formula>AD44&lt;&gt;""</formula>
    </cfRule>
  </conditionalFormatting>
  <conditionalFormatting sqref="F46">
    <cfRule type="expression" dxfId="493" priority="1654">
      <formula>$K46&lt;&gt;""</formula>
    </cfRule>
  </conditionalFormatting>
  <conditionalFormatting sqref="C46">
    <cfRule type="expression" dxfId="492" priority="1653">
      <formula>$G46&lt;&gt;"-"</formula>
    </cfRule>
  </conditionalFormatting>
  <conditionalFormatting sqref="D46">
    <cfRule type="expression" dxfId="491" priority="1652">
      <formula>$H46&lt;&gt;"-"</formula>
    </cfRule>
  </conditionalFormatting>
  <conditionalFormatting sqref="E46">
    <cfRule type="expression" dxfId="490" priority="1651">
      <formula>$I46&lt;&gt;"-"</formula>
    </cfRule>
  </conditionalFormatting>
  <conditionalFormatting sqref="B53">
    <cfRule type="expression" dxfId="489" priority="1647">
      <formula>AD53&lt;&gt;""</formula>
    </cfRule>
  </conditionalFormatting>
  <conditionalFormatting sqref="Z53">
    <cfRule type="cellIs" dxfId="488" priority="1645" operator="greaterThan">
      <formula>0</formula>
    </cfRule>
    <cfRule type="cellIs" dxfId="487" priority="1646" operator="lessThan">
      <formula>0</formula>
    </cfRule>
  </conditionalFormatting>
  <conditionalFormatting sqref="S53">
    <cfRule type="cellIs" dxfId="486" priority="1644" operator="lessThan">
      <formula>0</formula>
    </cfRule>
  </conditionalFormatting>
  <conditionalFormatting sqref="T51:T52">
    <cfRule type="expression" dxfId="485" priority="1648">
      <formula>#REF!="Yes"</formula>
    </cfRule>
  </conditionalFormatting>
  <conditionalFormatting sqref="P53">
    <cfRule type="cellIs" dxfId="484" priority="1642" operator="equal">
      <formula>AS_DURATION_EFFORT</formula>
    </cfRule>
    <cfRule type="cellIs" dxfId="483" priority="1643" operator="equal">
      <formula>AS_DEV_EFFORT</formula>
    </cfRule>
  </conditionalFormatting>
  <conditionalFormatting sqref="B51:B52">
    <cfRule type="expression" dxfId="482" priority="1641">
      <formula>AD51&lt;&gt;""</formula>
    </cfRule>
  </conditionalFormatting>
  <conditionalFormatting sqref="F53">
    <cfRule type="expression" dxfId="481" priority="1640">
      <formula>$K53&lt;&gt;""</formula>
    </cfRule>
  </conditionalFormatting>
  <conditionalFormatting sqref="C53">
    <cfRule type="expression" dxfId="480" priority="1639">
      <formula>$G53&lt;&gt;"-"</formula>
    </cfRule>
  </conditionalFormatting>
  <conditionalFormatting sqref="D53">
    <cfRule type="expression" dxfId="479" priority="1638">
      <formula>$H53&lt;&gt;"-"</formula>
    </cfRule>
  </conditionalFormatting>
  <conditionalFormatting sqref="E53">
    <cfRule type="expression" dxfId="478" priority="1637">
      <formula>$I53&lt;&gt;"-"</formula>
    </cfRule>
  </conditionalFormatting>
  <conditionalFormatting sqref="B62">
    <cfRule type="expression" dxfId="477" priority="1633">
      <formula>AD62&lt;&gt;""</formula>
    </cfRule>
  </conditionalFormatting>
  <conditionalFormatting sqref="Z62">
    <cfRule type="cellIs" dxfId="476" priority="1631" operator="greaterThan">
      <formula>0</formula>
    </cfRule>
    <cfRule type="cellIs" dxfId="475" priority="1632" operator="lessThan">
      <formula>0</formula>
    </cfRule>
  </conditionalFormatting>
  <conditionalFormatting sqref="S62">
    <cfRule type="cellIs" dxfId="474" priority="1630" operator="lessThan">
      <formula>0</formula>
    </cfRule>
  </conditionalFormatting>
  <conditionalFormatting sqref="T60:T61">
    <cfRule type="expression" dxfId="473" priority="1634">
      <formula>#REF!="Yes"</formula>
    </cfRule>
  </conditionalFormatting>
  <conditionalFormatting sqref="P62">
    <cfRule type="cellIs" dxfId="472" priority="1628" operator="equal">
      <formula>AS_DURATION_EFFORT</formula>
    </cfRule>
    <cfRule type="cellIs" dxfId="471" priority="1629" operator="equal">
      <formula>AS_DEV_EFFORT</formula>
    </cfRule>
  </conditionalFormatting>
  <conditionalFormatting sqref="B60:B61">
    <cfRule type="expression" dxfId="470" priority="1627">
      <formula>AD60&lt;&gt;""</formula>
    </cfRule>
  </conditionalFormatting>
  <conditionalFormatting sqref="F62">
    <cfRule type="expression" dxfId="469" priority="1626">
      <formula>$K62&lt;&gt;""</formula>
    </cfRule>
  </conditionalFormatting>
  <conditionalFormatting sqref="C62">
    <cfRule type="expression" dxfId="468" priority="1625">
      <formula>$G62&lt;&gt;"-"</formula>
    </cfRule>
  </conditionalFormatting>
  <conditionalFormatting sqref="D62">
    <cfRule type="expression" dxfId="467" priority="1624">
      <formula>$H62&lt;&gt;"-"</formula>
    </cfRule>
  </conditionalFormatting>
  <conditionalFormatting sqref="E62">
    <cfRule type="expression" dxfId="466" priority="1623">
      <formula>$I62&lt;&gt;"-"</formula>
    </cfRule>
  </conditionalFormatting>
  <conditionalFormatting sqref="B37">
    <cfRule type="expression" dxfId="465" priority="1606">
      <formula>AD37&lt;&gt;""</formula>
    </cfRule>
  </conditionalFormatting>
  <conditionalFormatting sqref="Z37">
    <cfRule type="cellIs" dxfId="464" priority="1604" operator="greaterThan">
      <formula>0</formula>
    </cfRule>
    <cfRule type="cellIs" dxfId="463" priority="1605" operator="lessThan">
      <formula>0</formula>
    </cfRule>
  </conditionalFormatting>
  <conditionalFormatting sqref="S37">
    <cfRule type="cellIs" dxfId="462" priority="1603" operator="lessThan">
      <formula>0</formula>
    </cfRule>
  </conditionalFormatting>
  <conditionalFormatting sqref="P37">
    <cfRule type="cellIs" dxfId="461" priority="1601" operator="equal">
      <formula>AS_DURATION_EFFORT</formula>
    </cfRule>
    <cfRule type="cellIs" dxfId="460" priority="1602" operator="equal">
      <formula>AS_DEV_EFFORT</formula>
    </cfRule>
  </conditionalFormatting>
  <conditionalFormatting sqref="F37">
    <cfRule type="expression" dxfId="459" priority="1600">
      <formula>$K37&lt;&gt;""</formula>
    </cfRule>
  </conditionalFormatting>
  <conditionalFormatting sqref="C37">
    <cfRule type="expression" dxfId="458" priority="1599">
      <formula>$G37&lt;&gt;"-"</formula>
    </cfRule>
  </conditionalFormatting>
  <conditionalFormatting sqref="D37">
    <cfRule type="expression" dxfId="457" priority="1598">
      <formula>$H37&lt;&gt;"-"</formula>
    </cfRule>
  </conditionalFormatting>
  <conditionalFormatting sqref="E37">
    <cfRule type="expression" dxfId="456" priority="1597">
      <formula>$I37&lt;&gt;"-"</formula>
    </cfRule>
  </conditionalFormatting>
  <conditionalFormatting sqref="B47">
    <cfRule type="expression" dxfId="455" priority="1594">
      <formula>AD47&lt;&gt;""</formula>
    </cfRule>
  </conditionalFormatting>
  <conditionalFormatting sqref="Z47">
    <cfRule type="cellIs" dxfId="454" priority="1592" operator="greaterThan">
      <formula>0</formula>
    </cfRule>
    <cfRule type="cellIs" dxfId="453" priority="1593" operator="lessThan">
      <formula>0</formula>
    </cfRule>
  </conditionalFormatting>
  <conditionalFormatting sqref="S47">
    <cfRule type="cellIs" dxfId="452" priority="1591" operator="lessThan">
      <formula>0</formula>
    </cfRule>
  </conditionalFormatting>
  <conditionalFormatting sqref="P47">
    <cfRule type="cellIs" dxfId="451" priority="1589" operator="equal">
      <formula>AS_DURATION_EFFORT</formula>
    </cfRule>
    <cfRule type="cellIs" dxfId="450" priority="1590" operator="equal">
      <formula>AS_DEV_EFFORT</formula>
    </cfRule>
  </conditionalFormatting>
  <conditionalFormatting sqref="F47">
    <cfRule type="expression" dxfId="449" priority="1588">
      <formula>$K47&lt;&gt;""</formula>
    </cfRule>
  </conditionalFormatting>
  <conditionalFormatting sqref="C47">
    <cfRule type="expression" dxfId="448" priority="1587">
      <formula>$G47&lt;&gt;"-"</formula>
    </cfRule>
  </conditionalFormatting>
  <conditionalFormatting sqref="D47">
    <cfRule type="expression" dxfId="447" priority="1586">
      <formula>$H47&lt;&gt;"-"</formula>
    </cfRule>
  </conditionalFormatting>
  <conditionalFormatting sqref="E47">
    <cfRule type="expression" dxfId="446" priority="1585">
      <formula>$I47&lt;&gt;"-"</formula>
    </cfRule>
  </conditionalFormatting>
  <conditionalFormatting sqref="B48">
    <cfRule type="expression" dxfId="445" priority="1582">
      <formula>AD48&lt;&gt;""</formula>
    </cfRule>
  </conditionalFormatting>
  <conditionalFormatting sqref="Z48">
    <cfRule type="cellIs" dxfId="444" priority="1580" operator="greaterThan">
      <formula>0</formula>
    </cfRule>
    <cfRule type="cellIs" dxfId="443" priority="1581" operator="lessThan">
      <formula>0</formula>
    </cfRule>
  </conditionalFormatting>
  <conditionalFormatting sqref="S48">
    <cfRule type="cellIs" dxfId="442" priority="1579" operator="lessThan">
      <formula>0</formula>
    </cfRule>
  </conditionalFormatting>
  <conditionalFormatting sqref="P48">
    <cfRule type="cellIs" dxfId="441" priority="1577" operator="equal">
      <formula>AS_DURATION_EFFORT</formula>
    </cfRule>
    <cfRule type="cellIs" dxfId="440" priority="1578" operator="equal">
      <formula>AS_DEV_EFFORT</formula>
    </cfRule>
  </conditionalFormatting>
  <conditionalFormatting sqref="F48">
    <cfRule type="expression" dxfId="439" priority="1576">
      <formula>$K48&lt;&gt;""</formula>
    </cfRule>
  </conditionalFormatting>
  <conditionalFormatting sqref="C48">
    <cfRule type="expression" dxfId="438" priority="1575">
      <formula>$G48&lt;&gt;"-"</formula>
    </cfRule>
  </conditionalFormatting>
  <conditionalFormatting sqref="D48">
    <cfRule type="expression" dxfId="437" priority="1574">
      <formula>$H48&lt;&gt;"-"</formula>
    </cfRule>
  </conditionalFormatting>
  <conditionalFormatting sqref="E48">
    <cfRule type="expression" dxfId="436" priority="1573">
      <formula>$I48&lt;&gt;"-"</formula>
    </cfRule>
  </conditionalFormatting>
  <conditionalFormatting sqref="B49">
    <cfRule type="expression" dxfId="435" priority="1570">
      <formula>AD49&lt;&gt;""</formula>
    </cfRule>
  </conditionalFormatting>
  <conditionalFormatting sqref="Z49">
    <cfRule type="cellIs" dxfId="434" priority="1568" operator="greaterThan">
      <formula>0</formula>
    </cfRule>
    <cfRule type="cellIs" dxfId="433" priority="1569" operator="lessThan">
      <formula>0</formula>
    </cfRule>
  </conditionalFormatting>
  <conditionalFormatting sqref="S49">
    <cfRule type="cellIs" dxfId="432" priority="1567" operator="lessThan">
      <formula>0</formula>
    </cfRule>
  </conditionalFormatting>
  <conditionalFormatting sqref="P49">
    <cfRule type="cellIs" dxfId="431" priority="1565" operator="equal">
      <formula>AS_DURATION_EFFORT</formula>
    </cfRule>
    <cfRule type="cellIs" dxfId="430" priority="1566" operator="equal">
      <formula>AS_DEV_EFFORT</formula>
    </cfRule>
  </conditionalFormatting>
  <conditionalFormatting sqref="F49">
    <cfRule type="expression" dxfId="429" priority="1564">
      <formula>$K49&lt;&gt;""</formula>
    </cfRule>
  </conditionalFormatting>
  <conditionalFormatting sqref="C49">
    <cfRule type="expression" dxfId="428" priority="1563">
      <formula>$G49&lt;&gt;"-"</formula>
    </cfRule>
  </conditionalFormatting>
  <conditionalFormatting sqref="D49">
    <cfRule type="expression" dxfId="427" priority="1562">
      <formula>$H49&lt;&gt;"-"</formula>
    </cfRule>
  </conditionalFormatting>
  <conditionalFormatting sqref="E49">
    <cfRule type="expression" dxfId="426" priority="1561">
      <formula>$I49&lt;&gt;"-"</formula>
    </cfRule>
  </conditionalFormatting>
  <conditionalFormatting sqref="B58">
    <cfRule type="expression" dxfId="425" priority="1510">
      <formula>AD58&lt;&gt;""</formula>
    </cfRule>
  </conditionalFormatting>
  <conditionalFormatting sqref="Z58">
    <cfRule type="cellIs" dxfId="424" priority="1508" operator="greaterThan">
      <formula>0</formula>
    </cfRule>
    <cfRule type="cellIs" dxfId="423" priority="1509" operator="lessThan">
      <formula>0</formula>
    </cfRule>
  </conditionalFormatting>
  <conditionalFormatting sqref="S58">
    <cfRule type="cellIs" dxfId="422" priority="1507" operator="lessThan">
      <formula>0</formula>
    </cfRule>
  </conditionalFormatting>
  <conditionalFormatting sqref="P58">
    <cfRule type="cellIs" dxfId="421" priority="1505" operator="equal">
      <formula>AS_DURATION_EFFORT</formula>
    </cfRule>
    <cfRule type="cellIs" dxfId="420" priority="1506" operator="equal">
      <formula>AS_DEV_EFFORT</formula>
    </cfRule>
  </conditionalFormatting>
  <conditionalFormatting sqref="F58">
    <cfRule type="expression" dxfId="419" priority="1504">
      <formula>$K58&lt;&gt;""</formula>
    </cfRule>
  </conditionalFormatting>
  <conditionalFormatting sqref="C58">
    <cfRule type="expression" dxfId="418" priority="1503">
      <formula>$G58&lt;&gt;"-"</formula>
    </cfRule>
  </conditionalFormatting>
  <conditionalFormatting sqref="D58">
    <cfRule type="expression" dxfId="417" priority="1502">
      <formula>$H58&lt;&gt;"-"</formula>
    </cfRule>
  </conditionalFormatting>
  <conditionalFormatting sqref="E58">
    <cfRule type="expression" dxfId="416" priority="1501">
      <formula>$I58&lt;&gt;"-"</formula>
    </cfRule>
  </conditionalFormatting>
  <conditionalFormatting sqref="B57">
    <cfRule type="expression" dxfId="415" priority="1498">
      <formula>AD57&lt;&gt;""</formula>
    </cfRule>
  </conditionalFormatting>
  <conditionalFormatting sqref="Z57">
    <cfRule type="cellIs" dxfId="414" priority="1496" operator="greaterThan">
      <formula>0</formula>
    </cfRule>
    <cfRule type="cellIs" dxfId="413" priority="1497" operator="lessThan">
      <formula>0</formula>
    </cfRule>
  </conditionalFormatting>
  <conditionalFormatting sqref="S57">
    <cfRule type="cellIs" dxfId="412" priority="1495" operator="lessThan">
      <formula>0</formula>
    </cfRule>
  </conditionalFormatting>
  <conditionalFormatting sqref="P57">
    <cfRule type="cellIs" dxfId="411" priority="1493" operator="equal">
      <formula>AS_DURATION_EFFORT</formula>
    </cfRule>
    <cfRule type="cellIs" dxfId="410" priority="1494" operator="equal">
      <formula>AS_DEV_EFFORT</formula>
    </cfRule>
  </conditionalFormatting>
  <conditionalFormatting sqref="F57">
    <cfRule type="expression" dxfId="409" priority="1492">
      <formula>$K57&lt;&gt;""</formula>
    </cfRule>
  </conditionalFormatting>
  <conditionalFormatting sqref="C57">
    <cfRule type="expression" dxfId="408" priority="1491">
      <formula>$G57&lt;&gt;"-"</formula>
    </cfRule>
  </conditionalFormatting>
  <conditionalFormatting sqref="D57">
    <cfRule type="expression" dxfId="407" priority="1490">
      <formula>$H57&lt;&gt;"-"</formula>
    </cfRule>
  </conditionalFormatting>
  <conditionalFormatting sqref="E57">
    <cfRule type="expression" dxfId="406" priority="1489">
      <formula>$I57&lt;&gt;"-"</formula>
    </cfRule>
  </conditionalFormatting>
  <conditionalFormatting sqref="B56">
    <cfRule type="expression" dxfId="405" priority="1486">
      <formula>AD56&lt;&gt;""</formula>
    </cfRule>
  </conditionalFormatting>
  <conditionalFormatting sqref="Z56">
    <cfRule type="cellIs" dxfId="404" priority="1484" operator="greaterThan">
      <formula>0</formula>
    </cfRule>
    <cfRule type="cellIs" dxfId="403" priority="1485" operator="lessThan">
      <formula>0</formula>
    </cfRule>
  </conditionalFormatting>
  <conditionalFormatting sqref="S56">
    <cfRule type="cellIs" dxfId="402" priority="1483" operator="lessThan">
      <formula>0</formula>
    </cfRule>
  </conditionalFormatting>
  <conditionalFormatting sqref="P56">
    <cfRule type="cellIs" dxfId="401" priority="1481" operator="equal">
      <formula>AS_DURATION_EFFORT</formula>
    </cfRule>
    <cfRule type="cellIs" dxfId="400" priority="1482" operator="equal">
      <formula>AS_DEV_EFFORT</formula>
    </cfRule>
  </conditionalFormatting>
  <conditionalFormatting sqref="F56">
    <cfRule type="expression" dxfId="399" priority="1480">
      <formula>$K56&lt;&gt;""</formula>
    </cfRule>
  </conditionalFormatting>
  <conditionalFormatting sqref="C56">
    <cfRule type="expression" dxfId="398" priority="1479">
      <formula>$G56&lt;&gt;"-"</formula>
    </cfRule>
  </conditionalFormatting>
  <conditionalFormatting sqref="D56">
    <cfRule type="expression" dxfId="397" priority="1478">
      <formula>$H56&lt;&gt;"-"</formula>
    </cfRule>
  </conditionalFormatting>
  <conditionalFormatting sqref="E56">
    <cfRule type="expression" dxfId="396" priority="1477">
      <formula>$I56&lt;&gt;"-"</formula>
    </cfRule>
  </conditionalFormatting>
  <conditionalFormatting sqref="B55">
    <cfRule type="expression" dxfId="395" priority="1462">
      <formula>AD55&lt;&gt;""</formula>
    </cfRule>
  </conditionalFormatting>
  <conditionalFormatting sqref="Z55">
    <cfRule type="cellIs" dxfId="394" priority="1460" operator="greaterThan">
      <formula>0</formula>
    </cfRule>
    <cfRule type="cellIs" dxfId="393" priority="1461" operator="lessThan">
      <formula>0</formula>
    </cfRule>
  </conditionalFormatting>
  <conditionalFormatting sqref="S55">
    <cfRule type="cellIs" dxfId="392" priority="1459" operator="lessThan">
      <formula>0</formula>
    </cfRule>
  </conditionalFormatting>
  <conditionalFormatting sqref="P55">
    <cfRule type="cellIs" dxfId="391" priority="1457" operator="equal">
      <formula>AS_DURATION_EFFORT</formula>
    </cfRule>
    <cfRule type="cellIs" dxfId="390" priority="1458" operator="equal">
      <formula>AS_DEV_EFFORT</formula>
    </cfRule>
  </conditionalFormatting>
  <conditionalFormatting sqref="F55">
    <cfRule type="expression" dxfId="389" priority="1456">
      <formula>$K55&lt;&gt;""</formula>
    </cfRule>
  </conditionalFormatting>
  <conditionalFormatting sqref="C55">
    <cfRule type="expression" dxfId="388" priority="1455">
      <formula>$G55&lt;&gt;"-"</formula>
    </cfRule>
  </conditionalFormatting>
  <conditionalFormatting sqref="D55">
    <cfRule type="expression" dxfId="387" priority="1454">
      <formula>$H55&lt;&gt;"-"</formula>
    </cfRule>
  </conditionalFormatting>
  <conditionalFormatting sqref="E55">
    <cfRule type="expression" dxfId="386" priority="1453">
      <formula>$I55&lt;&gt;"-"</formula>
    </cfRule>
  </conditionalFormatting>
  <conditionalFormatting sqref="B54">
    <cfRule type="expression" dxfId="385" priority="1450">
      <formula>AD54&lt;&gt;""</formula>
    </cfRule>
  </conditionalFormatting>
  <conditionalFormatting sqref="Z54">
    <cfRule type="cellIs" dxfId="384" priority="1448" operator="greaterThan">
      <formula>0</formula>
    </cfRule>
    <cfRule type="cellIs" dxfId="383" priority="1449" operator="lessThan">
      <formula>0</formula>
    </cfRule>
  </conditionalFormatting>
  <conditionalFormatting sqref="S54">
    <cfRule type="cellIs" dxfId="382" priority="1447" operator="lessThan">
      <formula>0</formula>
    </cfRule>
  </conditionalFormatting>
  <conditionalFormatting sqref="P54">
    <cfRule type="cellIs" dxfId="381" priority="1445" operator="equal">
      <formula>AS_DURATION_EFFORT</formula>
    </cfRule>
    <cfRule type="cellIs" dxfId="380" priority="1446" operator="equal">
      <formula>AS_DEV_EFFORT</formula>
    </cfRule>
  </conditionalFormatting>
  <conditionalFormatting sqref="F54">
    <cfRule type="expression" dxfId="379" priority="1444">
      <formula>$K54&lt;&gt;""</formula>
    </cfRule>
  </conditionalFormatting>
  <conditionalFormatting sqref="C54">
    <cfRule type="expression" dxfId="378" priority="1443">
      <formula>$G54&lt;&gt;"-"</formula>
    </cfRule>
  </conditionalFormatting>
  <conditionalFormatting sqref="D54">
    <cfRule type="expression" dxfId="377" priority="1442">
      <formula>$H54&lt;&gt;"-"</formula>
    </cfRule>
  </conditionalFormatting>
  <conditionalFormatting sqref="E54">
    <cfRule type="expression" dxfId="376" priority="1441">
      <formula>$I54&lt;&gt;"-"</formula>
    </cfRule>
  </conditionalFormatting>
  <conditionalFormatting sqref="B63">
    <cfRule type="expression" dxfId="375" priority="1438">
      <formula>AD63&lt;&gt;""</formula>
    </cfRule>
  </conditionalFormatting>
  <conditionalFormatting sqref="Z63">
    <cfRule type="cellIs" dxfId="374" priority="1436" operator="greaterThan">
      <formula>0</formula>
    </cfRule>
    <cfRule type="cellIs" dxfId="373" priority="1437" operator="lessThan">
      <formula>0</formula>
    </cfRule>
  </conditionalFormatting>
  <conditionalFormatting sqref="S63">
    <cfRule type="cellIs" dxfId="372" priority="1435" operator="lessThan">
      <formula>0</formula>
    </cfRule>
  </conditionalFormatting>
  <conditionalFormatting sqref="P63">
    <cfRule type="cellIs" dxfId="371" priority="1433" operator="equal">
      <formula>AS_DURATION_EFFORT</formula>
    </cfRule>
    <cfRule type="cellIs" dxfId="370" priority="1434" operator="equal">
      <formula>AS_DEV_EFFORT</formula>
    </cfRule>
  </conditionalFormatting>
  <conditionalFormatting sqref="F63">
    <cfRule type="expression" dxfId="369" priority="1432">
      <formula>$K63&lt;&gt;""</formula>
    </cfRule>
  </conditionalFormatting>
  <conditionalFormatting sqref="C63">
    <cfRule type="expression" dxfId="368" priority="1431">
      <formula>$G63&lt;&gt;"-"</formula>
    </cfRule>
  </conditionalFormatting>
  <conditionalFormatting sqref="D63">
    <cfRule type="expression" dxfId="367" priority="1430">
      <formula>$H63&lt;&gt;"-"</formula>
    </cfRule>
  </conditionalFormatting>
  <conditionalFormatting sqref="E63">
    <cfRule type="expression" dxfId="366" priority="1429">
      <formula>$I63&lt;&gt;"-"</formula>
    </cfRule>
  </conditionalFormatting>
  <conditionalFormatting sqref="B64">
    <cfRule type="expression" dxfId="365" priority="1426">
      <formula>AD64&lt;&gt;""</formula>
    </cfRule>
  </conditionalFormatting>
  <conditionalFormatting sqref="Z64">
    <cfRule type="cellIs" dxfId="364" priority="1424" operator="greaterThan">
      <formula>0</formula>
    </cfRule>
    <cfRule type="cellIs" dxfId="363" priority="1425" operator="lessThan">
      <formula>0</formula>
    </cfRule>
  </conditionalFormatting>
  <conditionalFormatting sqref="S64">
    <cfRule type="cellIs" dxfId="362" priority="1423" operator="lessThan">
      <formula>0</formula>
    </cfRule>
  </conditionalFormatting>
  <conditionalFormatting sqref="P64">
    <cfRule type="cellIs" dxfId="361" priority="1421" operator="equal">
      <formula>AS_DURATION_EFFORT</formula>
    </cfRule>
    <cfRule type="cellIs" dxfId="360" priority="1422" operator="equal">
      <formula>AS_DEV_EFFORT</formula>
    </cfRule>
  </conditionalFormatting>
  <conditionalFormatting sqref="F64">
    <cfRule type="expression" dxfId="359" priority="1420">
      <formula>$K64&lt;&gt;""</formula>
    </cfRule>
  </conditionalFormatting>
  <conditionalFormatting sqref="C64">
    <cfRule type="expression" dxfId="358" priority="1419">
      <formula>$G64&lt;&gt;"-"</formula>
    </cfRule>
  </conditionalFormatting>
  <conditionalFormatting sqref="D64">
    <cfRule type="expression" dxfId="357" priority="1418">
      <formula>$H64&lt;&gt;"-"</formula>
    </cfRule>
  </conditionalFormatting>
  <conditionalFormatting sqref="E64">
    <cfRule type="expression" dxfId="356" priority="1417">
      <formula>$I64&lt;&gt;"-"</formula>
    </cfRule>
  </conditionalFormatting>
  <conditionalFormatting sqref="B65">
    <cfRule type="expression" dxfId="355" priority="1414">
      <formula>AD65&lt;&gt;""</formula>
    </cfRule>
  </conditionalFormatting>
  <conditionalFormatting sqref="Z65">
    <cfRule type="cellIs" dxfId="354" priority="1412" operator="greaterThan">
      <formula>0</formula>
    </cfRule>
    <cfRule type="cellIs" dxfId="353" priority="1413" operator="lessThan">
      <formula>0</formula>
    </cfRule>
  </conditionalFormatting>
  <conditionalFormatting sqref="S65">
    <cfRule type="cellIs" dxfId="352" priority="1411" operator="lessThan">
      <formula>0</formula>
    </cfRule>
  </conditionalFormatting>
  <conditionalFormatting sqref="P65">
    <cfRule type="cellIs" dxfId="351" priority="1409" operator="equal">
      <formula>AS_DURATION_EFFORT</formula>
    </cfRule>
    <cfRule type="cellIs" dxfId="350" priority="1410" operator="equal">
      <formula>AS_DEV_EFFORT</formula>
    </cfRule>
  </conditionalFormatting>
  <conditionalFormatting sqref="F65">
    <cfRule type="expression" dxfId="349" priority="1408">
      <formula>$K65&lt;&gt;""</formula>
    </cfRule>
  </conditionalFormatting>
  <conditionalFormatting sqref="C65">
    <cfRule type="expression" dxfId="348" priority="1407">
      <formula>$G65&lt;&gt;"-"</formula>
    </cfRule>
  </conditionalFormatting>
  <conditionalFormatting sqref="D65">
    <cfRule type="expression" dxfId="347" priority="1406">
      <formula>$H65&lt;&gt;"-"</formula>
    </cfRule>
  </conditionalFormatting>
  <conditionalFormatting sqref="E65">
    <cfRule type="expression" dxfId="346" priority="1405">
      <formula>$I65&lt;&gt;"-"</formula>
    </cfRule>
  </conditionalFormatting>
  <conditionalFormatting sqref="B75">
    <cfRule type="expression" dxfId="345" priority="1402">
      <formula>AD75&lt;&gt;""</formula>
    </cfRule>
  </conditionalFormatting>
  <conditionalFormatting sqref="Z75">
    <cfRule type="cellIs" dxfId="344" priority="1400" operator="greaterThan">
      <formula>0</formula>
    </cfRule>
    <cfRule type="cellIs" dxfId="343" priority="1401" operator="lessThan">
      <formula>0</formula>
    </cfRule>
  </conditionalFormatting>
  <conditionalFormatting sqref="S75">
    <cfRule type="cellIs" dxfId="342" priority="1399" operator="lessThan">
      <formula>0</formula>
    </cfRule>
  </conditionalFormatting>
  <conditionalFormatting sqref="P75">
    <cfRule type="cellIs" dxfId="341" priority="1397" operator="equal">
      <formula>AS_DURATION_EFFORT</formula>
    </cfRule>
    <cfRule type="cellIs" dxfId="340" priority="1398" operator="equal">
      <formula>AS_DEV_EFFORT</formula>
    </cfRule>
  </conditionalFormatting>
  <conditionalFormatting sqref="F75">
    <cfRule type="expression" dxfId="339" priority="1396">
      <formula>$K75&lt;&gt;""</formula>
    </cfRule>
  </conditionalFormatting>
  <conditionalFormatting sqref="C75">
    <cfRule type="expression" dxfId="338" priority="1395">
      <formula>$G75&lt;&gt;"-"</formula>
    </cfRule>
  </conditionalFormatting>
  <conditionalFormatting sqref="D75">
    <cfRule type="expression" dxfId="337" priority="1394">
      <formula>$H75&lt;&gt;"-"</formula>
    </cfRule>
  </conditionalFormatting>
  <conditionalFormatting sqref="E75">
    <cfRule type="expression" dxfId="336" priority="1393">
      <formula>$I75&lt;&gt;"-"</formula>
    </cfRule>
  </conditionalFormatting>
  <conditionalFormatting sqref="B74">
    <cfRule type="expression" dxfId="335" priority="1390">
      <formula>AD74&lt;&gt;""</formula>
    </cfRule>
  </conditionalFormatting>
  <conditionalFormatting sqref="Z74">
    <cfRule type="cellIs" dxfId="334" priority="1388" operator="greaterThan">
      <formula>0</formula>
    </cfRule>
    <cfRule type="cellIs" dxfId="333" priority="1389" operator="lessThan">
      <formula>0</formula>
    </cfRule>
  </conditionalFormatting>
  <conditionalFormatting sqref="S74">
    <cfRule type="cellIs" dxfId="332" priority="1387" operator="lessThan">
      <formula>0</formula>
    </cfRule>
  </conditionalFormatting>
  <conditionalFormatting sqref="P74">
    <cfRule type="cellIs" dxfId="331" priority="1385" operator="equal">
      <formula>AS_DURATION_EFFORT</formula>
    </cfRule>
    <cfRule type="cellIs" dxfId="330" priority="1386" operator="equal">
      <formula>AS_DEV_EFFORT</formula>
    </cfRule>
  </conditionalFormatting>
  <conditionalFormatting sqref="F74">
    <cfRule type="expression" dxfId="329" priority="1384">
      <formula>$K74&lt;&gt;""</formula>
    </cfRule>
  </conditionalFormatting>
  <conditionalFormatting sqref="C74">
    <cfRule type="expression" dxfId="328" priority="1383">
      <formula>$G74&lt;&gt;"-"</formula>
    </cfRule>
  </conditionalFormatting>
  <conditionalFormatting sqref="D74">
    <cfRule type="expression" dxfId="327" priority="1382">
      <formula>$H74&lt;&gt;"-"</formula>
    </cfRule>
  </conditionalFormatting>
  <conditionalFormatting sqref="E74">
    <cfRule type="expression" dxfId="326" priority="1381">
      <formula>$I74&lt;&gt;"-"</formula>
    </cfRule>
  </conditionalFormatting>
  <conditionalFormatting sqref="B73">
    <cfRule type="expression" dxfId="325" priority="1378">
      <formula>AD73&lt;&gt;""</formula>
    </cfRule>
  </conditionalFormatting>
  <conditionalFormatting sqref="Z73">
    <cfRule type="cellIs" dxfId="324" priority="1376" operator="greaterThan">
      <formula>0</formula>
    </cfRule>
    <cfRule type="cellIs" dxfId="323" priority="1377" operator="lessThan">
      <formula>0</formula>
    </cfRule>
  </conditionalFormatting>
  <conditionalFormatting sqref="S73">
    <cfRule type="cellIs" dxfId="322" priority="1375" operator="lessThan">
      <formula>0</formula>
    </cfRule>
  </conditionalFormatting>
  <conditionalFormatting sqref="P73">
    <cfRule type="cellIs" dxfId="321" priority="1373" operator="equal">
      <formula>AS_DURATION_EFFORT</formula>
    </cfRule>
    <cfRule type="cellIs" dxfId="320" priority="1374" operator="equal">
      <formula>AS_DEV_EFFORT</formula>
    </cfRule>
  </conditionalFormatting>
  <conditionalFormatting sqref="F73">
    <cfRule type="expression" dxfId="319" priority="1372">
      <formula>$K73&lt;&gt;""</formula>
    </cfRule>
  </conditionalFormatting>
  <conditionalFormatting sqref="C73">
    <cfRule type="expression" dxfId="318" priority="1371">
      <formula>$G73&lt;&gt;"-"</formula>
    </cfRule>
  </conditionalFormatting>
  <conditionalFormatting sqref="D73">
    <cfRule type="expression" dxfId="317" priority="1370">
      <formula>$H73&lt;&gt;"-"</formula>
    </cfRule>
  </conditionalFormatting>
  <conditionalFormatting sqref="E73">
    <cfRule type="expression" dxfId="316" priority="1369">
      <formula>$I73&lt;&gt;"-"</formula>
    </cfRule>
  </conditionalFormatting>
  <conditionalFormatting sqref="B83">
    <cfRule type="expression" dxfId="315" priority="1366">
      <formula>AD83&lt;&gt;""</formula>
    </cfRule>
  </conditionalFormatting>
  <conditionalFormatting sqref="Z83">
    <cfRule type="cellIs" dxfId="314" priority="1364" operator="greaterThan">
      <formula>0</formula>
    </cfRule>
    <cfRule type="cellIs" dxfId="313" priority="1365" operator="lessThan">
      <formula>0</formula>
    </cfRule>
  </conditionalFormatting>
  <conditionalFormatting sqref="S83">
    <cfRule type="cellIs" dxfId="312" priority="1363" operator="lessThan">
      <formula>0</formula>
    </cfRule>
  </conditionalFormatting>
  <conditionalFormatting sqref="P83">
    <cfRule type="cellIs" dxfId="311" priority="1361" operator="equal">
      <formula>AS_DURATION_EFFORT</formula>
    </cfRule>
    <cfRule type="cellIs" dxfId="310" priority="1362" operator="equal">
      <formula>AS_DEV_EFFORT</formula>
    </cfRule>
  </conditionalFormatting>
  <conditionalFormatting sqref="F83">
    <cfRule type="expression" dxfId="309" priority="1360">
      <formula>$K83&lt;&gt;""</formula>
    </cfRule>
  </conditionalFormatting>
  <conditionalFormatting sqref="C83">
    <cfRule type="expression" dxfId="308" priority="1359">
      <formula>$G83&lt;&gt;"-"</formula>
    </cfRule>
  </conditionalFormatting>
  <conditionalFormatting sqref="D83">
    <cfRule type="expression" dxfId="307" priority="1358">
      <formula>$H83&lt;&gt;"-"</formula>
    </cfRule>
  </conditionalFormatting>
  <conditionalFormatting sqref="E83">
    <cfRule type="expression" dxfId="306" priority="1357">
      <formula>$I83&lt;&gt;"-"</formula>
    </cfRule>
  </conditionalFormatting>
  <conditionalFormatting sqref="B82">
    <cfRule type="expression" dxfId="305" priority="1354">
      <formula>AD82&lt;&gt;""</formula>
    </cfRule>
  </conditionalFormatting>
  <conditionalFormatting sqref="Z82">
    <cfRule type="cellIs" dxfId="304" priority="1352" operator="greaterThan">
      <formula>0</formula>
    </cfRule>
    <cfRule type="cellIs" dxfId="303" priority="1353" operator="lessThan">
      <formula>0</formula>
    </cfRule>
  </conditionalFormatting>
  <conditionalFormatting sqref="S82">
    <cfRule type="cellIs" dxfId="302" priority="1351" operator="lessThan">
      <formula>0</formula>
    </cfRule>
  </conditionalFormatting>
  <conditionalFormatting sqref="P82">
    <cfRule type="cellIs" dxfId="301" priority="1349" operator="equal">
      <formula>AS_DURATION_EFFORT</formula>
    </cfRule>
    <cfRule type="cellIs" dxfId="300" priority="1350" operator="equal">
      <formula>AS_DEV_EFFORT</formula>
    </cfRule>
  </conditionalFormatting>
  <conditionalFormatting sqref="F82">
    <cfRule type="expression" dxfId="299" priority="1348">
      <formula>$K82&lt;&gt;""</formula>
    </cfRule>
  </conditionalFormatting>
  <conditionalFormatting sqref="C82">
    <cfRule type="expression" dxfId="298" priority="1347">
      <formula>$G82&lt;&gt;"-"</formula>
    </cfRule>
  </conditionalFormatting>
  <conditionalFormatting sqref="D82">
    <cfRule type="expression" dxfId="297" priority="1346">
      <formula>$H82&lt;&gt;"-"</formula>
    </cfRule>
  </conditionalFormatting>
  <conditionalFormatting sqref="E82">
    <cfRule type="expression" dxfId="296" priority="1345">
      <formula>$I82&lt;&gt;"-"</formula>
    </cfRule>
  </conditionalFormatting>
  <conditionalFormatting sqref="B81">
    <cfRule type="expression" dxfId="295" priority="1342">
      <formula>AD81&lt;&gt;""</formula>
    </cfRule>
  </conditionalFormatting>
  <conditionalFormatting sqref="Z81">
    <cfRule type="cellIs" dxfId="294" priority="1340" operator="greaterThan">
      <formula>0</formula>
    </cfRule>
    <cfRule type="cellIs" dxfId="293" priority="1341" operator="lessThan">
      <formula>0</formula>
    </cfRule>
  </conditionalFormatting>
  <conditionalFormatting sqref="S81">
    <cfRule type="cellIs" dxfId="292" priority="1339" operator="lessThan">
      <formula>0</formula>
    </cfRule>
  </conditionalFormatting>
  <conditionalFormatting sqref="P81">
    <cfRule type="cellIs" dxfId="291" priority="1337" operator="equal">
      <formula>AS_DURATION_EFFORT</formula>
    </cfRule>
    <cfRule type="cellIs" dxfId="290" priority="1338" operator="equal">
      <formula>AS_DEV_EFFORT</formula>
    </cfRule>
  </conditionalFormatting>
  <conditionalFormatting sqref="F81">
    <cfRule type="expression" dxfId="289" priority="1336">
      <formula>$K81&lt;&gt;""</formula>
    </cfRule>
  </conditionalFormatting>
  <conditionalFormatting sqref="C81">
    <cfRule type="expression" dxfId="288" priority="1335">
      <formula>$G81&lt;&gt;"-"</formula>
    </cfRule>
  </conditionalFormatting>
  <conditionalFormatting sqref="D81">
    <cfRule type="expression" dxfId="287" priority="1334">
      <formula>$H81&lt;&gt;"-"</formula>
    </cfRule>
  </conditionalFormatting>
  <conditionalFormatting sqref="E81">
    <cfRule type="expression" dxfId="286" priority="1333">
      <formula>$I81&lt;&gt;"-"</formula>
    </cfRule>
  </conditionalFormatting>
  <conditionalFormatting sqref="B80">
    <cfRule type="expression" dxfId="285" priority="1330">
      <formula>AD80&lt;&gt;""</formula>
    </cfRule>
  </conditionalFormatting>
  <conditionalFormatting sqref="Z80">
    <cfRule type="cellIs" dxfId="284" priority="1328" operator="greaterThan">
      <formula>0</formula>
    </cfRule>
    <cfRule type="cellIs" dxfId="283" priority="1329" operator="lessThan">
      <formula>0</formula>
    </cfRule>
  </conditionalFormatting>
  <conditionalFormatting sqref="S80">
    <cfRule type="cellIs" dxfId="282" priority="1327" operator="lessThan">
      <formula>0</formula>
    </cfRule>
  </conditionalFormatting>
  <conditionalFormatting sqref="P80">
    <cfRule type="cellIs" dxfId="281" priority="1325" operator="equal">
      <formula>AS_DURATION_EFFORT</formula>
    </cfRule>
    <cfRule type="cellIs" dxfId="280" priority="1326" operator="equal">
      <formula>AS_DEV_EFFORT</formula>
    </cfRule>
  </conditionalFormatting>
  <conditionalFormatting sqref="F80">
    <cfRule type="expression" dxfId="279" priority="1324">
      <formula>$K80&lt;&gt;""</formula>
    </cfRule>
  </conditionalFormatting>
  <conditionalFormatting sqref="C80">
    <cfRule type="expression" dxfId="278" priority="1323">
      <formula>$G80&lt;&gt;"-"</formula>
    </cfRule>
  </conditionalFormatting>
  <conditionalFormatting sqref="D80">
    <cfRule type="expression" dxfId="277" priority="1322">
      <formula>$H80&lt;&gt;"-"</formula>
    </cfRule>
  </conditionalFormatting>
  <conditionalFormatting sqref="E80">
    <cfRule type="expression" dxfId="276" priority="1321">
      <formula>$I80&lt;&gt;"-"</formula>
    </cfRule>
  </conditionalFormatting>
  <conditionalFormatting sqref="B89">
    <cfRule type="expression" dxfId="275" priority="1318">
      <formula>AD89&lt;&gt;""</formula>
    </cfRule>
  </conditionalFormatting>
  <conditionalFormatting sqref="Z89">
    <cfRule type="cellIs" dxfId="274" priority="1316" operator="greaterThan">
      <formula>0</formula>
    </cfRule>
    <cfRule type="cellIs" dxfId="273" priority="1317" operator="lessThan">
      <formula>0</formula>
    </cfRule>
  </conditionalFormatting>
  <conditionalFormatting sqref="S89">
    <cfRule type="cellIs" dxfId="272" priority="1315" operator="lessThan">
      <formula>0</formula>
    </cfRule>
  </conditionalFormatting>
  <conditionalFormatting sqref="P89">
    <cfRule type="cellIs" dxfId="271" priority="1313" operator="equal">
      <formula>AS_DURATION_EFFORT</formula>
    </cfRule>
    <cfRule type="cellIs" dxfId="270" priority="1314" operator="equal">
      <formula>AS_DEV_EFFORT</formula>
    </cfRule>
  </conditionalFormatting>
  <conditionalFormatting sqref="F89">
    <cfRule type="expression" dxfId="269" priority="1312">
      <formula>$K89&lt;&gt;""</formula>
    </cfRule>
  </conditionalFormatting>
  <conditionalFormatting sqref="C89">
    <cfRule type="expression" dxfId="268" priority="1311">
      <formula>$G89&lt;&gt;"-"</formula>
    </cfRule>
  </conditionalFormatting>
  <conditionalFormatting sqref="D89">
    <cfRule type="expression" dxfId="267" priority="1310">
      <formula>$H89&lt;&gt;"-"</formula>
    </cfRule>
  </conditionalFormatting>
  <conditionalFormatting sqref="E89">
    <cfRule type="expression" dxfId="266" priority="1309">
      <formula>$I89&lt;&gt;"-"</formula>
    </cfRule>
  </conditionalFormatting>
  <conditionalFormatting sqref="S92">
    <cfRule type="expression" dxfId="265" priority="1308">
      <formula>#REF!="Yes"</formula>
    </cfRule>
  </conditionalFormatting>
  <conditionalFormatting sqref="B92">
    <cfRule type="expression" dxfId="264" priority="1307">
      <formula>AD92&lt;&gt;""</formula>
    </cfRule>
  </conditionalFormatting>
  <conditionalFormatting sqref="B99">
    <cfRule type="expression" dxfId="263" priority="1303">
      <formula>AD99&lt;&gt;""</formula>
    </cfRule>
  </conditionalFormatting>
  <conditionalFormatting sqref="Z99">
    <cfRule type="cellIs" dxfId="262" priority="1301" operator="greaterThan">
      <formula>0</formula>
    </cfRule>
    <cfRule type="cellIs" dxfId="261" priority="1302" operator="lessThan">
      <formula>0</formula>
    </cfRule>
  </conditionalFormatting>
  <conditionalFormatting sqref="S99">
    <cfRule type="cellIs" dxfId="260" priority="1300" operator="lessThan">
      <formula>0</formula>
    </cfRule>
  </conditionalFormatting>
  <conditionalFormatting sqref="T97:T98">
    <cfRule type="expression" dxfId="259" priority="1304">
      <formula>#REF!="Yes"</formula>
    </cfRule>
  </conditionalFormatting>
  <conditionalFormatting sqref="P99">
    <cfRule type="cellIs" dxfId="258" priority="1298" operator="equal">
      <formula>AS_DURATION_EFFORT</formula>
    </cfRule>
    <cfRule type="cellIs" dxfId="257" priority="1299" operator="equal">
      <formula>AS_DEV_EFFORT</formula>
    </cfRule>
  </conditionalFormatting>
  <conditionalFormatting sqref="B97:B98">
    <cfRule type="expression" dxfId="256" priority="1297">
      <formula>AD97&lt;&gt;""</formula>
    </cfRule>
  </conditionalFormatting>
  <conditionalFormatting sqref="F99">
    <cfRule type="expression" dxfId="255" priority="1296">
      <formula>$K99&lt;&gt;""</formula>
    </cfRule>
  </conditionalFormatting>
  <conditionalFormatting sqref="C99">
    <cfRule type="expression" dxfId="254" priority="1295">
      <formula>$G99&lt;&gt;"-"</formula>
    </cfRule>
  </conditionalFormatting>
  <conditionalFormatting sqref="D99">
    <cfRule type="expression" dxfId="253" priority="1294">
      <formula>$H99&lt;&gt;"-"</formula>
    </cfRule>
  </conditionalFormatting>
  <conditionalFormatting sqref="E99">
    <cfRule type="expression" dxfId="252" priority="1293">
      <formula>$I99&lt;&gt;"-"</formula>
    </cfRule>
  </conditionalFormatting>
  <conditionalFormatting sqref="B106">
    <cfRule type="expression" dxfId="251" priority="1273">
      <formula>AD106&lt;&gt;""</formula>
    </cfRule>
  </conditionalFormatting>
  <conditionalFormatting sqref="Z106">
    <cfRule type="cellIs" dxfId="250" priority="1271" operator="greaterThan">
      <formula>0</formula>
    </cfRule>
    <cfRule type="cellIs" dxfId="249" priority="1272" operator="lessThan">
      <formula>0</formula>
    </cfRule>
  </conditionalFormatting>
  <conditionalFormatting sqref="S106">
    <cfRule type="cellIs" dxfId="248" priority="1270" operator="lessThan">
      <formula>0</formula>
    </cfRule>
  </conditionalFormatting>
  <conditionalFormatting sqref="T104:T105">
    <cfRule type="expression" dxfId="247" priority="1274">
      <formula>#REF!="Yes"</formula>
    </cfRule>
  </conditionalFormatting>
  <conditionalFormatting sqref="P106">
    <cfRule type="cellIs" dxfId="246" priority="1268" operator="equal">
      <formula>AS_DURATION_EFFORT</formula>
    </cfRule>
    <cfRule type="cellIs" dxfId="245" priority="1269" operator="equal">
      <formula>AS_DEV_EFFORT</formula>
    </cfRule>
  </conditionalFormatting>
  <conditionalFormatting sqref="B104:B105">
    <cfRule type="expression" dxfId="244" priority="1267">
      <formula>AD104&lt;&gt;""</formula>
    </cfRule>
  </conditionalFormatting>
  <conditionalFormatting sqref="F106">
    <cfRule type="expression" dxfId="243" priority="1266">
      <formula>$K106&lt;&gt;""</formula>
    </cfRule>
  </conditionalFormatting>
  <conditionalFormatting sqref="C106">
    <cfRule type="expression" dxfId="242" priority="1265">
      <formula>$G106&lt;&gt;"-"</formula>
    </cfRule>
  </conditionalFormatting>
  <conditionalFormatting sqref="D106">
    <cfRule type="expression" dxfId="241" priority="1264">
      <formula>$H106&lt;&gt;"-"</formula>
    </cfRule>
  </conditionalFormatting>
  <conditionalFormatting sqref="E106">
    <cfRule type="expression" dxfId="240" priority="1263">
      <formula>$I106&lt;&gt;"-"</formula>
    </cfRule>
  </conditionalFormatting>
  <conditionalFormatting sqref="B107">
    <cfRule type="expression" dxfId="239" priority="1260">
      <formula>AD107&lt;&gt;""</formula>
    </cfRule>
  </conditionalFormatting>
  <conditionalFormatting sqref="Z107">
    <cfRule type="cellIs" dxfId="238" priority="1258" operator="greaterThan">
      <formula>0</formula>
    </cfRule>
    <cfRule type="cellIs" dxfId="237" priority="1259" operator="lessThan">
      <formula>0</formula>
    </cfRule>
  </conditionalFormatting>
  <conditionalFormatting sqref="S107">
    <cfRule type="cellIs" dxfId="236" priority="1257" operator="lessThan">
      <formula>0</formula>
    </cfRule>
  </conditionalFormatting>
  <conditionalFormatting sqref="P107">
    <cfRule type="cellIs" dxfId="235" priority="1255" operator="equal">
      <formula>AS_DURATION_EFFORT</formula>
    </cfRule>
    <cfRule type="cellIs" dxfId="234" priority="1256" operator="equal">
      <formula>AS_DEV_EFFORT</formula>
    </cfRule>
  </conditionalFormatting>
  <conditionalFormatting sqref="F107">
    <cfRule type="expression" dxfId="233" priority="1254">
      <formula>$K107&lt;&gt;""</formula>
    </cfRule>
  </conditionalFormatting>
  <conditionalFormatting sqref="C107">
    <cfRule type="expression" dxfId="232" priority="1253">
      <formula>$G107&lt;&gt;"-"</formula>
    </cfRule>
  </conditionalFormatting>
  <conditionalFormatting sqref="D107">
    <cfRule type="expression" dxfId="231" priority="1252">
      <formula>$H107&lt;&gt;"-"</formula>
    </cfRule>
  </conditionalFormatting>
  <conditionalFormatting sqref="E107">
    <cfRule type="expression" dxfId="230" priority="1251">
      <formula>$I107&lt;&gt;"-"</formula>
    </cfRule>
  </conditionalFormatting>
  <conditionalFormatting sqref="B111">
    <cfRule type="expression" dxfId="229" priority="1247">
      <formula>AD111&lt;&gt;""</formula>
    </cfRule>
  </conditionalFormatting>
  <conditionalFormatting sqref="Z111">
    <cfRule type="cellIs" dxfId="228" priority="1245" operator="greaterThan">
      <formula>0</formula>
    </cfRule>
    <cfRule type="cellIs" dxfId="227" priority="1246" operator="lessThan">
      <formula>0</formula>
    </cfRule>
  </conditionalFormatting>
  <conditionalFormatting sqref="S111">
    <cfRule type="cellIs" dxfId="226" priority="1244" operator="lessThan">
      <formula>0</formula>
    </cfRule>
  </conditionalFormatting>
  <conditionalFormatting sqref="T109:T110">
    <cfRule type="expression" dxfId="225" priority="1248">
      <formula>#REF!="Yes"</formula>
    </cfRule>
  </conditionalFormatting>
  <conditionalFormatting sqref="P118">
    <cfRule type="cellIs" dxfId="224" priority="1184" operator="equal">
      <formula>AS_DURATION_EFFORT</formula>
    </cfRule>
    <cfRule type="cellIs" dxfId="223" priority="1185" operator="equal">
      <formula>AS_DEV_EFFORT</formula>
    </cfRule>
  </conditionalFormatting>
  <conditionalFormatting sqref="B109:B110">
    <cfRule type="expression" dxfId="222" priority="1241">
      <formula>AD109&lt;&gt;""</formula>
    </cfRule>
  </conditionalFormatting>
  <conditionalFormatting sqref="F111">
    <cfRule type="expression" dxfId="221" priority="1240">
      <formula>$K111&lt;&gt;""</formula>
    </cfRule>
  </conditionalFormatting>
  <conditionalFormatting sqref="C111">
    <cfRule type="expression" dxfId="220" priority="1239">
      <formula>$G111&lt;&gt;"-"</formula>
    </cfRule>
  </conditionalFormatting>
  <conditionalFormatting sqref="D111">
    <cfRule type="expression" dxfId="219" priority="1238">
      <formula>$H111&lt;&gt;"-"</formula>
    </cfRule>
  </conditionalFormatting>
  <conditionalFormatting sqref="E111">
    <cfRule type="expression" dxfId="218" priority="1237">
      <formula>$I111&lt;&gt;"-"</formula>
    </cfRule>
  </conditionalFormatting>
  <conditionalFormatting sqref="B112">
    <cfRule type="expression" dxfId="217" priority="1234">
      <formula>AD112&lt;&gt;""</formula>
    </cfRule>
  </conditionalFormatting>
  <conditionalFormatting sqref="Z112">
    <cfRule type="cellIs" dxfId="216" priority="1232" operator="greaterThan">
      <formula>0</formula>
    </cfRule>
    <cfRule type="cellIs" dxfId="215" priority="1233" operator="lessThan">
      <formula>0</formula>
    </cfRule>
  </conditionalFormatting>
  <conditionalFormatting sqref="S112">
    <cfRule type="cellIs" dxfId="214" priority="1231" operator="lessThan">
      <formula>0</formula>
    </cfRule>
  </conditionalFormatting>
  <conditionalFormatting sqref="P113">
    <cfRule type="cellIs" dxfId="213" priority="1195" operator="equal">
      <formula>AS_DURATION_EFFORT</formula>
    </cfRule>
    <cfRule type="cellIs" dxfId="212" priority="1196" operator="equal">
      <formula>AS_DEV_EFFORT</formula>
    </cfRule>
  </conditionalFormatting>
  <conditionalFormatting sqref="F112">
    <cfRule type="expression" dxfId="211" priority="1228">
      <formula>$K112&lt;&gt;""</formula>
    </cfRule>
  </conditionalFormatting>
  <conditionalFormatting sqref="C112">
    <cfRule type="expression" dxfId="210" priority="1227">
      <formula>$G112&lt;&gt;"-"</formula>
    </cfRule>
  </conditionalFormatting>
  <conditionalFormatting sqref="D112">
    <cfRule type="expression" dxfId="209" priority="1226">
      <formula>$H112&lt;&gt;"-"</formula>
    </cfRule>
  </conditionalFormatting>
  <conditionalFormatting sqref="E112">
    <cfRule type="expression" dxfId="208" priority="1225">
      <formula>$I112&lt;&gt;"-"</formula>
    </cfRule>
  </conditionalFormatting>
  <conditionalFormatting sqref="B114">
    <cfRule type="expression" dxfId="207" priority="1222">
      <formula>AD114&lt;&gt;""</formula>
    </cfRule>
  </conditionalFormatting>
  <conditionalFormatting sqref="Z114">
    <cfRule type="cellIs" dxfId="206" priority="1220" operator="greaterThan">
      <formula>0</formula>
    </cfRule>
    <cfRule type="cellIs" dxfId="205" priority="1221" operator="lessThan">
      <formula>0</formula>
    </cfRule>
  </conditionalFormatting>
  <conditionalFormatting sqref="S114">
    <cfRule type="cellIs" dxfId="204" priority="1219" operator="lessThan">
      <formula>0</formula>
    </cfRule>
  </conditionalFormatting>
  <conditionalFormatting sqref="P114">
    <cfRule type="cellIs" dxfId="203" priority="1217" operator="equal">
      <formula>AS_DURATION_EFFORT</formula>
    </cfRule>
    <cfRule type="cellIs" dxfId="202" priority="1218" operator="equal">
      <formula>AS_DEV_EFFORT</formula>
    </cfRule>
  </conditionalFormatting>
  <conditionalFormatting sqref="F114">
    <cfRule type="expression" dxfId="201" priority="1216">
      <formula>$K114&lt;&gt;""</formula>
    </cfRule>
  </conditionalFormatting>
  <conditionalFormatting sqref="C114">
    <cfRule type="expression" dxfId="200" priority="1215">
      <formula>$G114&lt;&gt;"-"</formula>
    </cfRule>
  </conditionalFormatting>
  <conditionalFormatting sqref="D114">
    <cfRule type="expression" dxfId="199" priority="1214">
      <formula>$H114&lt;&gt;"-"</formula>
    </cfRule>
  </conditionalFormatting>
  <conditionalFormatting sqref="E114">
    <cfRule type="expression" dxfId="198" priority="1213">
      <formula>$I114&lt;&gt;"-"</formula>
    </cfRule>
  </conditionalFormatting>
  <conditionalFormatting sqref="B113">
    <cfRule type="expression" dxfId="197" priority="1210">
      <formula>AD113&lt;&gt;""</formula>
    </cfRule>
  </conditionalFormatting>
  <conditionalFormatting sqref="Z113">
    <cfRule type="cellIs" dxfId="196" priority="1208" operator="greaterThan">
      <formula>0</formula>
    </cfRule>
    <cfRule type="cellIs" dxfId="195" priority="1209" operator="lessThan">
      <formula>0</formula>
    </cfRule>
  </conditionalFormatting>
  <conditionalFormatting sqref="S113">
    <cfRule type="cellIs" dxfId="194" priority="1207" operator="lessThan">
      <formula>0</formula>
    </cfRule>
  </conditionalFormatting>
  <conditionalFormatting sqref="P111">
    <cfRule type="cellIs" dxfId="193" priority="1197" operator="equal">
      <formula>AS_DURATION_EFFORT</formula>
    </cfRule>
    <cfRule type="cellIs" dxfId="192" priority="1198" operator="equal">
      <formula>AS_DEV_EFFORT</formula>
    </cfRule>
  </conditionalFormatting>
  <conditionalFormatting sqref="F113">
    <cfRule type="expression" dxfId="191" priority="1204">
      <formula>$K113&lt;&gt;""</formula>
    </cfRule>
  </conditionalFormatting>
  <conditionalFormatting sqref="C113">
    <cfRule type="expression" dxfId="190" priority="1203">
      <formula>$G113&lt;&gt;"-"</formula>
    </cfRule>
  </conditionalFormatting>
  <conditionalFormatting sqref="D113">
    <cfRule type="expression" dxfId="189" priority="1202">
      <formula>$H113&lt;&gt;"-"</formula>
    </cfRule>
  </conditionalFormatting>
  <conditionalFormatting sqref="E113">
    <cfRule type="expression" dxfId="188" priority="1201">
      <formula>$I113&lt;&gt;"-"</formula>
    </cfRule>
  </conditionalFormatting>
  <conditionalFormatting sqref="P121">
    <cfRule type="cellIs" dxfId="187" priority="1171" operator="equal">
      <formula>AS_DURATION_EFFORT</formula>
    </cfRule>
    <cfRule type="cellIs" dxfId="186" priority="1172" operator="equal">
      <formula>AS_DEV_EFFORT</formula>
    </cfRule>
  </conditionalFormatting>
  <conditionalFormatting sqref="P112:P113">
    <cfRule type="cellIs" dxfId="185" priority="1193" operator="equal">
      <formula>AS_DURATION_EFFORT</formula>
    </cfRule>
    <cfRule type="cellIs" dxfId="184" priority="1194" operator="equal">
      <formula>AS_DEV_EFFORT</formula>
    </cfRule>
  </conditionalFormatting>
  <conditionalFormatting sqref="B118">
    <cfRule type="expression" dxfId="183" priority="1189">
      <formula>AD118&lt;&gt;""</formula>
    </cfRule>
  </conditionalFormatting>
  <conditionalFormatting sqref="Z118">
    <cfRule type="cellIs" dxfId="182" priority="1187" operator="greaterThan">
      <formula>0</formula>
    </cfRule>
    <cfRule type="cellIs" dxfId="181" priority="1188" operator="lessThan">
      <formula>0</formula>
    </cfRule>
  </conditionalFormatting>
  <conditionalFormatting sqref="S118">
    <cfRule type="cellIs" dxfId="180" priority="1186" operator="lessThan">
      <formula>0</formula>
    </cfRule>
  </conditionalFormatting>
  <conditionalFormatting sqref="T116:T117">
    <cfRule type="expression" dxfId="179" priority="1190">
      <formula>#REF!="Yes"</formula>
    </cfRule>
  </conditionalFormatting>
  <conditionalFormatting sqref="B116:B117">
    <cfRule type="expression" dxfId="178" priority="1183">
      <formula>AD116&lt;&gt;""</formula>
    </cfRule>
  </conditionalFormatting>
  <conditionalFormatting sqref="F118">
    <cfRule type="expression" dxfId="177" priority="1182">
      <formula>$K118&lt;&gt;""</formula>
    </cfRule>
  </conditionalFormatting>
  <conditionalFormatting sqref="C118">
    <cfRule type="expression" dxfId="176" priority="1181">
      <formula>$G118&lt;&gt;"-"</formula>
    </cfRule>
  </conditionalFormatting>
  <conditionalFormatting sqref="D118">
    <cfRule type="expression" dxfId="175" priority="1180">
      <formula>$H118&lt;&gt;"-"</formula>
    </cfRule>
  </conditionalFormatting>
  <conditionalFormatting sqref="E118">
    <cfRule type="expression" dxfId="174" priority="1179">
      <formula>$I118&lt;&gt;"-"</formula>
    </cfRule>
  </conditionalFormatting>
  <conditionalFormatting sqref="B121">
    <cfRule type="expression" dxfId="173" priority="1176">
      <formula>AD121&lt;&gt;""</formula>
    </cfRule>
  </conditionalFormatting>
  <conditionalFormatting sqref="Z121">
    <cfRule type="cellIs" dxfId="172" priority="1174" operator="greaterThan">
      <formula>0</formula>
    </cfRule>
    <cfRule type="cellIs" dxfId="171" priority="1175" operator="lessThan">
      <formula>0</formula>
    </cfRule>
  </conditionalFormatting>
  <conditionalFormatting sqref="S121">
    <cfRule type="cellIs" dxfId="170" priority="1173" operator="lessThan">
      <formula>0</formula>
    </cfRule>
  </conditionalFormatting>
  <conditionalFormatting sqref="P120">
    <cfRule type="cellIs" dxfId="169" priority="1159" operator="equal">
      <formula>AS_DURATION_EFFORT</formula>
    </cfRule>
    <cfRule type="cellIs" dxfId="168" priority="1160" operator="equal">
      <formula>AS_DEV_EFFORT</formula>
    </cfRule>
  </conditionalFormatting>
  <conditionalFormatting sqref="F121">
    <cfRule type="expression" dxfId="167" priority="1170">
      <formula>$K121&lt;&gt;""</formula>
    </cfRule>
  </conditionalFormatting>
  <conditionalFormatting sqref="C121">
    <cfRule type="expression" dxfId="166" priority="1169">
      <formula>$G121&lt;&gt;"-"</formula>
    </cfRule>
  </conditionalFormatting>
  <conditionalFormatting sqref="D121">
    <cfRule type="expression" dxfId="165" priority="1168">
      <formula>$H121&lt;&gt;"-"</formula>
    </cfRule>
  </conditionalFormatting>
  <conditionalFormatting sqref="E121">
    <cfRule type="expression" dxfId="164" priority="1167">
      <formula>$I121&lt;&gt;"-"</formula>
    </cfRule>
  </conditionalFormatting>
  <conditionalFormatting sqref="B120">
    <cfRule type="expression" dxfId="163" priority="1164">
      <formula>AD120&lt;&gt;""</formula>
    </cfRule>
  </conditionalFormatting>
  <conditionalFormatting sqref="Z120">
    <cfRule type="cellIs" dxfId="162" priority="1162" operator="greaterThan">
      <formula>0</formula>
    </cfRule>
    <cfRule type="cellIs" dxfId="161" priority="1163" operator="lessThan">
      <formula>0</formula>
    </cfRule>
  </conditionalFormatting>
  <conditionalFormatting sqref="S120">
    <cfRule type="cellIs" dxfId="160" priority="1161" operator="lessThan">
      <formula>0</formula>
    </cfRule>
  </conditionalFormatting>
  <conditionalFormatting sqref="P119">
    <cfRule type="cellIs" dxfId="159" priority="1147" operator="equal">
      <formula>AS_DURATION_EFFORT</formula>
    </cfRule>
    <cfRule type="cellIs" dxfId="158" priority="1148" operator="equal">
      <formula>AS_DEV_EFFORT</formula>
    </cfRule>
  </conditionalFormatting>
  <conditionalFormatting sqref="F120">
    <cfRule type="expression" dxfId="157" priority="1158">
      <formula>$K120&lt;&gt;""</formula>
    </cfRule>
  </conditionalFormatting>
  <conditionalFormatting sqref="C120">
    <cfRule type="expression" dxfId="156" priority="1157">
      <formula>$G120&lt;&gt;"-"</formula>
    </cfRule>
  </conditionalFormatting>
  <conditionalFormatting sqref="D120">
    <cfRule type="expression" dxfId="155" priority="1156">
      <formula>$H120&lt;&gt;"-"</formula>
    </cfRule>
  </conditionalFormatting>
  <conditionalFormatting sqref="E120">
    <cfRule type="expression" dxfId="154" priority="1155">
      <formula>$I120&lt;&gt;"-"</formula>
    </cfRule>
  </conditionalFormatting>
  <conditionalFormatting sqref="B119">
    <cfRule type="expression" dxfId="153" priority="1152">
      <formula>AD119&lt;&gt;""</formula>
    </cfRule>
  </conditionalFormatting>
  <conditionalFormatting sqref="Z119">
    <cfRule type="cellIs" dxfId="152" priority="1150" operator="greaterThan">
      <formula>0</formula>
    </cfRule>
    <cfRule type="cellIs" dxfId="151" priority="1151" operator="lessThan">
      <formula>0</formula>
    </cfRule>
  </conditionalFormatting>
  <conditionalFormatting sqref="S119">
    <cfRule type="cellIs" dxfId="150" priority="1149" operator="lessThan">
      <formula>0</formula>
    </cfRule>
  </conditionalFormatting>
  <conditionalFormatting sqref="P126">
    <cfRule type="cellIs" dxfId="149" priority="1121" operator="equal">
      <formula>AS_DURATION_EFFORT</formula>
    </cfRule>
    <cfRule type="cellIs" dxfId="148" priority="1122" operator="equal">
      <formula>AS_DEV_EFFORT</formula>
    </cfRule>
  </conditionalFormatting>
  <conditionalFormatting sqref="F119">
    <cfRule type="expression" dxfId="147" priority="1146">
      <formula>$K119&lt;&gt;""</formula>
    </cfRule>
  </conditionalFormatting>
  <conditionalFormatting sqref="C119">
    <cfRule type="expression" dxfId="146" priority="1145">
      <formula>$G119&lt;&gt;"-"</formula>
    </cfRule>
  </conditionalFormatting>
  <conditionalFormatting sqref="D119">
    <cfRule type="expression" dxfId="145" priority="1144">
      <formula>$H119&lt;&gt;"-"</formula>
    </cfRule>
  </conditionalFormatting>
  <conditionalFormatting sqref="E119">
    <cfRule type="expression" dxfId="144" priority="1143">
      <formula>$I119&lt;&gt;"-"</formula>
    </cfRule>
  </conditionalFormatting>
  <conditionalFormatting sqref="B125">
    <cfRule type="expression" dxfId="143" priority="1139">
      <formula>AD125&lt;&gt;""</formula>
    </cfRule>
  </conditionalFormatting>
  <conditionalFormatting sqref="Z125">
    <cfRule type="cellIs" dxfId="142" priority="1137" operator="greaterThan">
      <formula>0</formula>
    </cfRule>
    <cfRule type="cellIs" dxfId="141" priority="1138" operator="lessThan">
      <formula>0</formula>
    </cfRule>
  </conditionalFormatting>
  <conditionalFormatting sqref="S125">
    <cfRule type="cellIs" dxfId="140" priority="1136" operator="lessThan">
      <formula>0</formula>
    </cfRule>
  </conditionalFormatting>
  <conditionalFormatting sqref="T123:T124">
    <cfRule type="expression" dxfId="139" priority="1140">
      <formula>#REF!="Yes"</formula>
    </cfRule>
  </conditionalFormatting>
  <conditionalFormatting sqref="P125">
    <cfRule type="cellIs" dxfId="138" priority="1134" operator="equal">
      <formula>AS_DURATION_EFFORT</formula>
    </cfRule>
    <cfRule type="cellIs" dxfId="137" priority="1135" operator="equal">
      <formula>AS_DEV_EFFORT</formula>
    </cfRule>
  </conditionalFormatting>
  <conditionalFormatting sqref="B123:B124">
    <cfRule type="expression" dxfId="136" priority="1133">
      <formula>AD123&lt;&gt;""</formula>
    </cfRule>
  </conditionalFormatting>
  <conditionalFormatting sqref="F125">
    <cfRule type="expression" dxfId="135" priority="1132">
      <formula>$K125&lt;&gt;""</formula>
    </cfRule>
  </conditionalFormatting>
  <conditionalFormatting sqref="C125">
    <cfRule type="expression" dxfId="134" priority="1131">
      <formula>$G125&lt;&gt;"-"</formula>
    </cfRule>
  </conditionalFormatting>
  <conditionalFormatting sqref="D125">
    <cfRule type="expression" dxfId="133" priority="1130">
      <formula>$H125&lt;&gt;"-"</formula>
    </cfRule>
  </conditionalFormatting>
  <conditionalFormatting sqref="E125">
    <cfRule type="expression" dxfId="132" priority="1129">
      <formula>$I125&lt;&gt;"-"</formula>
    </cfRule>
  </conditionalFormatting>
  <conditionalFormatting sqref="B126">
    <cfRule type="expression" dxfId="131" priority="1126">
      <formula>AD126&lt;&gt;""</formula>
    </cfRule>
  </conditionalFormatting>
  <conditionalFormatting sqref="Z126">
    <cfRule type="cellIs" dxfId="130" priority="1124" operator="greaterThan">
      <formula>0</formula>
    </cfRule>
    <cfRule type="cellIs" dxfId="129" priority="1125" operator="lessThan">
      <formula>0</formula>
    </cfRule>
  </conditionalFormatting>
  <conditionalFormatting sqref="S126">
    <cfRule type="cellIs" dxfId="128" priority="1123" operator="lessThan">
      <formula>0</formula>
    </cfRule>
  </conditionalFormatting>
  <conditionalFormatting sqref="F126">
    <cfRule type="expression" dxfId="127" priority="1120">
      <formula>$K126&lt;&gt;""</formula>
    </cfRule>
  </conditionalFormatting>
  <conditionalFormatting sqref="C126">
    <cfRule type="expression" dxfId="126" priority="1119">
      <formula>$G126&lt;&gt;"-"</formula>
    </cfRule>
  </conditionalFormatting>
  <conditionalFormatting sqref="D126">
    <cfRule type="expression" dxfId="125" priority="1118">
      <formula>$H126&lt;&gt;"-"</formula>
    </cfRule>
  </conditionalFormatting>
  <conditionalFormatting sqref="E126">
    <cfRule type="expression" dxfId="124" priority="1117">
      <formula>$I126&lt;&gt;"-"</formula>
    </cfRule>
  </conditionalFormatting>
  <conditionalFormatting sqref="B133">
    <cfRule type="expression" dxfId="123" priority="1111">
      <formula>AD133&lt;&gt;""</formula>
    </cfRule>
  </conditionalFormatting>
  <conditionalFormatting sqref="Z133">
    <cfRule type="cellIs" dxfId="122" priority="1109" operator="greaterThan">
      <formula>0</formula>
    </cfRule>
    <cfRule type="cellIs" dxfId="121" priority="1110" operator="lessThan">
      <formula>0</formula>
    </cfRule>
  </conditionalFormatting>
  <conditionalFormatting sqref="S133">
    <cfRule type="cellIs" dxfId="120" priority="1108" operator="lessThan">
      <formula>0</formula>
    </cfRule>
  </conditionalFormatting>
  <conditionalFormatting sqref="T131:T132">
    <cfRule type="expression" dxfId="119" priority="1112">
      <formula>#REF!="Yes"</formula>
    </cfRule>
  </conditionalFormatting>
  <conditionalFormatting sqref="P133">
    <cfRule type="cellIs" dxfId="118" priority="1106" operator="equal">
      <formula>AS_DURATION_EFFORT</formula>
    </cfRule>
    <cfRule type="cellIs" dxfId="117" priority="1107" operator="equal">
      <formula>AS_DEV_EFFORT</formula>
    </cfRule>
  </conditionalFormatting>
  <conditionalFormatting sqref="B131:B132">
    <cfRule type="expression" dxfId="116" priority="1105">
      <formula>AD131&lt;&gt;""</formula>
    </cfRule>
  </conditionalFormatting>
  <conditionalFormatting sqref="F133">
    <cfRule type="expression" dxfId="115" priority="1104">
      <formula>$K133&lt;&gt;""</formula>
    </cfRule>
  </conditionalFormatting>
  <conditionalFormatting sqref="C133">
    <cfRule type="expression" dxfId="114" priority="1103">
      <formula>$G133&lt;&gt;"-"</formula>
    </cfRule>
  </conditionalFormatting>
  <conditionalFormatting sqref="D133">
    <cfRule type="expression" dxfId="113" priority="1102">
      <formula>$H133&lt;&gt;"-"</formula>
    </cfRule>
  </conditionalFormatting>
  <conditionalFormatting sqref="E133">
    <cfRule type="expression" dxfId="112" priority="1101">
      <formula>$I133&lt;&gt;"-"</formula>
    </cfRule>
  </conditionalFormatting>
  <conditionalFormatting sqref="B134">
    <cfRule type="expression" dxfId="111" priority="1098">
      <formula>AD134&lt;&gt;""</formula>
    </cfRule>
  </conditionalFormatting>
  <conditionalFormatting sqref="Z134">
    <cfRule type="cellIs" dxfId="110" priority="1096" operator="greaterThan">
      <formula>0</formula>
    </cfRule>
    <cfRule type="cellIs" dxfId="109" priority="1097" operator="lessThan">
      <formula>0</formula>
    </cfRule>
  </conditionalFormatting>
  <conditionalFormatting sqref="S134">
    <cfRule type="cellIs" dxfId="108" priority="1095" operator="lessThan">
      <formula>0</formula>
    </cfRule>
  </conditionalFormatting>
  <conditionalFormatting sqref="P134">
    <cfRule type="cellIs" dxfId="107" priority="1093" operator="equal">
      <formula>AS_DURATION_EFFORT</formula>
    </cfRule>
    <cfRule type="cellIs" dxfId="106" priority="1094" operator="equal">
      <formula>AS_DEV_EFFORT</formula>
    </cfRule>
  </conditionalFormatting>
  <conditionalFormatting sqref="F134">
    <cfRule type="expression" dxfId="105" priority="1092">
      <formula>$K134&lt;&gt;""</formula>
    </cfRule>
  </conditionalFormatting>
  <conditionalFormatting sqref="C134">
    <cfRule type="expression" dxfId="104" priority="1091">
      <formula>$G134&lt;&gt;"-"</formula>
    </cfRule>
  </conditionalFormatting>
  <conditionalFormatting sqref="D134">
    <cfRule type="expression" dxfId="103" priority="1090">
      <formula>$H134&lt;&gt;"-"</formula>
    </cfRule>
  </conditionalFormatting>
  <conditionalFormatting sqref="E134">
    <cfRule type="expression" dxfId="102" priority="1089">
      <formula>$I134&lt;&gt;"-"</formula>
    </cfRule>
  </conditionalFormatting>
  <conditionalFormatting sqref="B138">
    <cfRule type="expression" dxfId="101" priority="1085">
      <formula>AD138&lt;&gt;""</formula>
    </cfRule>
  </conditionalFormatting>
  <conditionalFormatting sqref="Z138">
    <cfRule type="cellIs" dxfId="100" priority="1083" operator="greaterThan">
      <formula>0</formula>
    </cfRule>
    <cfRule type="cellIs" dxfId="99" priority="1084" operator="lessThan">
      <formula>0</formula>
    </cfRule>
  </conditionalFormatting>
  <conditionalFormatting sqref="S138">
    <cfRule type="cellIs" dxfId="98" priority="1082" operator="lessThan">
      <formula>0</formula>
    </cfRule>
  </conditionalFormatting>
  <conditionalFormatting sqref="T136:T137">
    <cfRule type="expression" dxfId="97" priority="1086">
      <formula>#REF!="Yes"</formula>
    </cfRule>
  </conditionalFormatting>
  <conditionalFormatting sqref="P138">
    <cfRule type="cellIs" dxfId="96" priority="1080" operator="equal">
      <formula>AS_DURATION_EFFORT</formula>
    </cfRule>
    <cfRule type="cellIs" dxfId="95" priority="1081" operator="equal">
      <formula>AS_DEV_EFFORT</formula>
    </cfRule>
  </conditionalFormatting>
  <conditionalFormatting sqref="B136:B137">
    <cfRule type="expression" dxfId="94" priority="1079">
      <formula>AD136&lt;&gt;""</formula>
    </cfRule>
  </conditionalFormatting>
  <conditionalFormatting sqref="F138">
    <cfRule type="expression" dxfId="93" priority="1078">
      <formula>$K138&lt;&gt;""</formula>
    </cfRule>
  </conditionalFormatting>
  <conditionalFormatting sqref="C138">
    <cfRule type="expression" dxfId="92" priority="1077">
      <formula>$G138&lt;&gt;"-"</formula>
    </cfRule>
  </conditionalFormatting>
  <conditionalFormatting sqref="D138">
    <cfRule type="expression" dxfId="91" priority="1076">
      <formula>$H138&lt;&gt;"-"</formula>
    </cfRule>
  </conditionalFormatting>
  <conditionalFormatting sqref="E138">
    <cfRule type="expression" dxfId="90" priority="1075">
      <formula>$I138&lt;&gt;"-"</formula>
    </cfRule>
  </conditionalFormatting>
  <conditionalFormatting sqref="B142">
    <cfRule type="expression" dxfId="89" priority="1047">
      <formula>AD142&lt;&gt;""</formula>
    </cfRule>
  </conditionalFormatting>
  <conditionalFormatting sqref="Z142">
    <cfRule type="cellIs" dxfId="88" priority="1045" operator="greaterThan">
      <formula>0</formula>
    </cfRule>
    <cfRule type="cellIs" dxfId="87" priority="1046" operator="lessThan">
      <formula>0</formula>
    </cfRule>
  </conditionalFormatting>
  <conditionalFormatting sqref="S142">
    <cfRule type="cellIs" dxfId="86" priority="1044" operator="lessThan">
      <formula>0</formula>
    </cfRule>
  </conditionalFormatting>
  <conditionalFormatting sqref="T140:T141">
    <cfRule type="expression" dxfId="85" priority="1048">
      <formula>#REF!="Yes"</formula>
    </cfRule>
  </conditionalFormatting>
  <conditionalFormatting sqref="P142">
    <cfRule type="cellIs" dxfId="84" priority="1042" operator="equal">
      <formula>AS_DURATION_EFFORT</formula>
    </cfRule>
    <cfRule type="cellIs" dxfId="83" priority="1043" operator="equal">
      <formula>AS_DEV_EFFORT</formula>
    </cfRule>
  </conditionalFormatting>
  <conditionalFormatting sqref="B140:B141">
    <cfRule type="expression" dxfId="82" priority="1041">
      <formula>AD140&lt;&gt;""</formula>
    </cfRule>
  </conditionalFormatting>
  <conditionalFormatting sqref="F142">
    <cfRule type="expression" dxfId="81" priority="1040">
      <formula>$K142&lt;&gt;""</formula>
    </cfRule>
  </conditionalFormatting>
  <conditionalFormatting sqref="C142">
    <cfRule type="expression" dxfId="80" priority="1039">
      <formula>$G142&lt;&gt;"-"</formula>
    </cfRule>
  </conditionalFormatting>
  <conditionalFormatting sqref="D142">
    <cfRule type="expression" dxfId="79" priority="1038">
      <formula>$H142&lt;&gt;"-"</formula>
    </cfRule>
  </conditionalFormatting>
  <conditionalFormatting sqref="E142">
    <cfRule type="expression" dxfId="78" priority="1037">
      <formula>$I142&lt;&gt;"-"</formula>
    </cfRule>
  </conditionalFormatting>
  <conditionalFormatting sqref="B146">
    <cfRule type="expression" dxfId="77" priority="1021">
      <formula>AD146&lt;&gt;""</formula>
    </cfRule>
  </conditionalFormatting>
  <conditionalFormatting sqref="Z146">
    <cfRule type="cellIs" dxfId="76" priority="1019" operator="greaterThan">
      <formula>0</formula>
    </cfRule>
    <cfRule type="cellIs" dxfId="75" priority="1020" operator="lessThan">
      <formula>0</formula>
    </cfRule>
  </conditionalFormatting>
  <conditionalFormatting sqref="S146">
    <cfRule type="cellIs" dxfId="74" priority="1018" operator="lessThan">
      <formula>0</formula>
    </cfRule>
  </conditionalFormatting>
  <conditionalFormatting sqref="T144:T145">
    <cfRule type="expression" dxfId="73" priority="1022">
      <formula>#REF!="Yes"</formula>
    </cfRule>
  </conditionalFormatting>
  <conditionalFormatting sqref="P146">
    <cfRule type="cellIs" dxfId="72" priority="1016" operator="equal">
      <formula>AS_DURATION_EFFORT</formula>
    </cfRule>
    <cfRule type="cellIs" dxfId="71" priority="1017" operator="equal">
      <formula>AS_DEV_EFFORT</formula>
    </cfRule>
  </conditionalFormatting>
  <conditionalFormatting sqref="B144:B145">
    <cfRule type="expression" dxfId="70" priority="1015">
      <formula>AD144&lt;&gt;""</formula>
    </cfRule>
  </conditionalFormatting>
  <conditionalFormatting sqref="F146">
    <cfRule type="expression" dxfId="69" priority="1014">
      <formula>$K146&lt;&gt;""</formula>
    </cfRule>
  </conditionalFormatting>
  <conditionalFormatting sqref="C146">
    <cfRule type="expression" dxfId="68" priority="1013">
      <formula>$G146&lt;&gt;"-"</formula>
    </cfRule>
  </conditionalFormatting>
  <conditionalFormatting sqref="D146">
    <cfRule type="expression" dxfId="67" priority="1012">
      <formula>$H146&lt;&gt;"-"</formula>
    </cfRule>
  </conditionalFormatting>
  <conditionalFormatting sqref="E146">
    <cfRule type="expression" dxfId="66" priority="1011">
      <formula>$I146&lt;&gt;"-"</formula>
    </cfRule>
  </conditionalFormatting>
  <conditionalFormatting sqref="B149">
    <cfRule type="expression" dxfId="65" priority="1008">
      <formula>AD149&lt;&gt;""</formula>
    </cfRule>
  </conditionalFormatting>
  <conditionalFormatting sqref="Z149">
    <cfRule type="cellIs" dxfId="64" priority="1006" operator="greaterThan">
      <formula>0</formula>
    </cfRule>
    <cfRule type="cellIs" dxfId="63" priority="1007" operator="lessThan">
      <formula>0</formula>
    </cfRule>
  </conditionalFormatting>
  <conditionalFormatting sqref="S149">
    <cfRule type="cellIs" dxfId="62" priority="1005" operator="lessThan">
      <formula>0</formula>
    </cfRule>
  </conditionalFormatting>
  <conditionalFormatting sqref="P149">
    <cfRule type="cellIs" dxfId="61" priority="1003" operator="equal">
      <formula>AS_DURATION_EFFORT</formula>
    </cfRule>
    <cfRule type="cellIs" dxfId="60" priority="1004" operator="equal">
      <formula>AS_DEV_EFFORT</formula>
    </cfRule>
  </conditionalFormatting>
  <conditionalFormatting sqref="F149">
    <cfRule type="expression" dxfId="59" priority="1002">
      <formula>$K149&lt;&gt;""</formula>
    </cfRule>
  </conditionalFormatting>
  <conditionalFormatting sqref="C149">
    <cfRule type="expression" dxfId="58" priority="1001">
      <formula>$G149&lt;&gt;"-"</formula>
    </cfRule>
  </conditionalFormatting>
  <conditionalFormatting sqref="D149">
    <cfRule type="expression" dxfId="57" priority="1000">
      <formula>$H149&lt;&gt;"-"</formula>
    </cfRule>
  </conditionalFormatting>
  <conditionalFormatting sqref="E149">
    <cfRule type="expression" dxfId="56" priority="999">
      <formula>$I149&lt;&gt;"-"</formula>
    </cfRule>
  </conditionalFormatting>
  <conditionalFormatting sqref="B148">
    <cfRule type="expression" dxfId="55" priority="996">
      <formula>AD148&lt;&gt;""</formula>
    </cfRule>
  </conditionalFormatting>
  <conditionalFormatting sqref="Z148">
    <cfRule type="cellIs" dxfId="54" priority="994" operator="greaterThan">
      <formula>0</formula>
    </cfRule>
    <cfRule type="cellIs" dxfId="53" priority="995" operator="lessThan">
      <formula>0</formula>
    </cfRule>
  </conditionalFormatting>
  <conditionalFormatting sqref="S148">
    <cfRule type="cellIs" dxfId="52" priority="993" operator="lessThan">
      <formula>0</formula>
    </cfRule>
  </conditionalFormatting>
  <conditionalFormatting sqref="P148">
    <cfRule type="cellIs" dxfId="51" priority="991" operator="equal">
      <formula>AS_DURATION_EFFORT</formula>
    </cfRule>
    <cfRule type="cellIs" dxfId="50" priority="992" operator="equal">
      <formula>AS_DEV_EFFORT</formula>
    </cfRule>
  </conditionalFormatting>
  <conditionalFormatting sqref="F148">
    <cfRule type="expression" dxfId="49" priority="990">
      <formula>$K148&lt;&gt;""</formula>
    </cfRule>
  </conditionalFormatting>
  <conditionalFormatting sqref="C148">
    <cfRule type="expression" dxfId="48" priority="989">
      <formula>$G148&lt;&gt;"-"</formula>
    </cfRule>
  </conditionalFormatting>
  <conditionalFormatting sqref="D148">
    <cfRule type="expression" dxfId="47" priority="988">
      <formula>$H148&lt;&gt;"-"</formula>
    </cfRule>
  </conditionalFormatting>
  <conditionalFormatting sqref="E148">
    <cfRule type="expression" dxfId="46" priority="987">
      <formula>$I148&lt;&gt;"-"</formula>
    </cfRule>
  </conditionalFormatting>
  <conditionalFormatting sqref="B147">
    <cfRule type="expression" dxfId="45" priority="984">
      <formula>AD147&lt;&gt;""</formula>
    </cfRule>
  </conditionalFormatting>
  <conditionalFormatting sqref="Z147">
    <cfRule type="cellIs" dxfId="44" priority="982" operator="greaterThan">
      <formula>0</formula>
    </cfRule>
    <cfRule type="cellIs" dxfId="43" priority="983" operator="lessThan">
      <formula>0</formula>
    </cfRule>
  </conditionalFormatting>
  <conditionalFormatting sqref="S147">
    <cfRule type="cellIs" dxfId="42" priority="981" operator="lessThan">
      <formula>0</formula>
    </cfRule>
  </conditionalFormatting>
  <conditionalFormatting sqref="P147">
    <cfRule type="cellIs" dxfId="41" priority="979" operator="equal">
      <formula>AS_DURATION_EFFORT</formula>
    </cfRule>
    <cfRule type="cellIs" dxfId="40" priority="980" operator="equal">
      <formula>AS_DEV_EFFORT</formula>
    </cfRule>
  </conditionalFormatting>
  <conditionalFormatting sqref="F147">
    <cfRule type="expression" dxfId="39" priority="978">
      <formula>$K147&lt;&gt;""</formula>
    </cfRule>
  </conditionalFormatting>
  <conditionalFormatting sqref="C147">
    <cfRule type="expression" dxfId="38" priority="977">
      <formula>$G147&lt;&gt;"-"</formula>
    </cfRule>
  </conditionalFormatting>
  <conditionalFormatting sqref="D147">
    <cfRule type="expression" dxfId="37" priority="976">
      <formula>$H147&lt;&gt;"-"</formula>
    </cfRule>
  </conditionalFormatting>
  <conditionalFormatting sqref="E147">
    <cfRule type="expression" dxfId="36" priority="975">
      <formula>$I147&lt;&gt;"-"</formula>
    </cfRule>
  </conditionalFormatting>
  <conditionalFormatting sqref="B156">
    <cfRule type="expression" dxfId="35" priority="965">
      <formula>AD156&lt;&gt;""</formula>
    </cfRule>
  </conditionalFormatting>
  <conditionalFormatting sqref="Z156">
    <cfRule type="cellIs" dxfId="34" priority="963" operator="greaterThan">
      <formula>0</formula>
    </cfRule>
    <cfRule type="cellIs" dxfId="33" priority="964" operator="lessThan">
      <formula>0</formula>
    </cfRule>
  </conditionalFormatting>
  <conditionalFormatting sqref="S156">
    <cfRule type="cellIs" dxfId="32" priority="962" operator="lessThan">
      <formula>0</formula>
    </cfRule>
  </conditionalFormatting>
  <conditionalFormatting sqref="T154:T155">
    <cfRule type="expression" dxfId="31" priority="966">
      <formula>#REF!="Yes"</formula>
    </cfRule>
  </conditionalFormatting>
  <conditionalFormatting sqref="P156">
    <cfRule type="cellIs" dxfId="30" priority="960" operator="equal">
      <formula>AS_DURATION_EFFORT</formula>
    </cfRule>
    <cfRule type="cellIs" dxfId="29" priority="961" operator="equal">
      <formula>AS_DEV_EFFORT</formula>
    </cfRule>
  </conditionalFormatting>
  <conditionalFormatting sqref="B154:B155">
    <cfRule type="expression" dxfId="28" priority="959">
      <formula>AD154&lt;&gt;""</formula>
    </cfRule>
  </conditionalFormatting>
  <conditionalFormatting sqref="F156">
    <cfRule type="expression" dxfId="27" priority="958">
      <formula>$K156&lt;&gt;""</formula>
    </cfRule>
  </conditionalFormatting>
  <conditionalFormatting sqref="C156">
    <cfRule type="expression" dxfId="26" priority="957">
      <formula>$G156&lt;&gt;"-"</formula>
    </cfRule>
  </conditionalFormatting>
  <conditionalFormatting sqref="D156">
    <cfRule type="expression" dxfId="25" priority="956">
      <formula>$H156&lt;&gt;"-"</formula>
    </cfRule>
  </conditionalFormatting>
  <conditionalFormatting sqref="E156">
    <cfRule type="expression" dxfId="24" priority="955">
      <formula>$I156&lt;&gt;"-"</formula>
    </cfRule>
  </conditionalFormatting>
  <conditionalFormatting sqref="B42">
    <cfRule type="expression" dxfId="23" priority="24">
      <formula>AD42&lt;&gt;""</formula>
    </cfRule>
  </conditionalFormatting>
  <conditionalFormatting sqref="Z42">
    <cfRule type="cellIs" dxfId="22" priority="22" operator="greaterThan">
      <formula>0</formula>
    </cfRule>
    <cfRule type="cellIs" dxfId="21" priority="23" operator="lessThan">
      <formula>0</formula>
    </cfRule>
  </conditionalFormatting>
  <conditionalFormatting sqref="S42">
    <cfRule type="cellIs" dxfId="20" priority="21" operator="lessThan">
      <formula>0</formula>
    </cfRule>
  </conditionalFormatting>
  <conditionalFormatting sqref="P42">
    <cfRule type="cellIs" dxfId="19" priority="19" operator="equal">
      <formula>AS_DURATION_EFFORT</formula>
    </cfRule>
    <cfRule type="cellIs" dxfId="18" priority="20" operator="equal">
      <formula>AS_DEV_EFFORT</formula>
    </cfRule>
  </conditionalFormatting>
  <conditionalFormatting sqref="L42:M42 O42:AC42">
    <cfRule type="expression" dxfId="17" priority="25">
      <formula>AND($G42="Yes", $S$6="Exclude")</formula>
    </cfRule>
    <cfRule type="expression" dxfId="16" priority="26">
      <formula>$J42="Yes"</formula>
    </cfRule>
  </conditionalFormatting>
  <conditionalFormatting sqref="F42">
    <cfRule type="expression" dxfId="15" priority="18">
      <formula>$K42&lt;&gt;""</formula>
    </cfRule>
  </conditionalFormatting>
  <conditionalFormatting sqref="C42">
    <cfRule type="expression" dxfId="14" priority="17">
      <formula>$G42&lt;&gt;"-"</formula>
    </cfRule>
  </conditionalFormatting>
  <conditionalFormatting sqref="D42">
    <cfRule type="expression" dxfId="13" priority="16">
      <formula>$H42&lt;&gt;"-"</formula>
    </cfRule>
  </conditionalFormatting>
  <conditionalFormatting sqref="E42">
    <cfRule type="expression" dxfId="12" priority="15">
      <formula>$I42&lt;&gt;"-"</formula>
    </cfRule>
  </conditionalFormatting>
  <conditionalFormatting sqref="N42">
    <cfRule type="expression" dxfId="11" priority="13">
      <formula>AND($G42="Yes", $S$6="Exclude")</formula>
    </cfRule>
    <cfRule type="expression" dxfId="10" priority="14">
      <formula>$J42="Yes"</formula>
    </cfRule>
  </conditionalFormatting>
  <conditionalFormatting sqref="B90">
    <cfRule type="expression" dxfId="9" priority="10">
      <formula>AD90&lt;&gt;""</formula>
    </cfRule>
  </conditionalFormatting>
  <conditionalFormatting sqref="Z90">
    <cfRule type="cellIs" dxfId="8" priority="8" operator="greaterThan">
      <formula>0</formula>
    </cfRule>
    <cfRule type="cellIs" dxfId="7" priority="9" operator="lessThan">
      <formula>0</formula>
    </cfRule>
  </conditionalFormatting>
  <conditionalFormatting sqref="S90">
    <cfRule type="cellIs" dxfId="6" priority="7" operator="lessThan">
      <formula>0</formula>
    </cfRule>
  </conditionalFormatting>
  <conditionalFormatting sqref="P90">
    <cfRule type="cellIs" dxfId="5" priority="5" operator="equal">
      <formula>AS_DURATION_EFFORT</formula>
    </cfRule>
    <cfRule type="cellIs" dxfId="4" priority="6" operator="equal">
      <formula>AS_DEV_EFFORT</formula>
    </cfRule>
  </conditionalFormatting>
  <conditionalFormatting sqref="F90">
    <cfRule type="expression" dxfId="3" priority="4">
      <formula>$K90&lt;&gt;""</formula>
    </cfRule>
  </conditionalFormatting>
  <conditionalFormatting sqref="C90">
    <cfRule type="expression" dxfId="2" priority="3">
      <formula>$G90&lt;&gt;"-"</formula>
    </cfRule>
  </conditionalFormatting>
  <conditionalFormatting sqref="D90">
    <cfRule type="expression" dxfId="1" priority="2">
      <formula>$H90&lt;&gt;"-"</formula>
    </cfRule>
  </conditionalFormatting>
  <conditionalFormatting sqref="E90">
    <cfRule type="expression" dxfId="0" priority="1">
      <formula>$I90&lt;&gt;"-"</formula>
    </cfRule>
  </conditionalFormatting>
  <dataValidations count="11">
    <dataValidation type="list" allowBlank="1" showInputMessage="1" showErrorMessage="1" sqref="S5">
      <formula1>SALES_CALL_SCALE_LIST</formula1>
    </dataValidation>
    <dataValidation type="list" allowBlank="1" showInputMessage="1" showErrorMessage="1" sqref="S6">
      <formula1>INCLUDE_OPTIONALS_LIST</formula1>
    </dataValidation>
    <dataValidation type="list" allowBlank="1" showInputMessage="1" showErrorMessage="1" sqref="O218">
      <formula1>YES_NO_LIST</formula1>
    </dataValidation>
    <dataValidation type="list" allowBlank="1" showInputMessage="1" showErrorMessage="1" sqref="O215">
      <formula1>PLATFORMS_LIST</formula1>
    </dataValidation>
    <dataValidation type="list" allowBlank="1" showInputMessage="1" showErrorMessage="1" sqref="O216">
      <formula1>PROJECT_TYPES_LIST</formula1>
    </dataValidation>
    <dataValidation type="list" allowBlank="1" showInputMessage="1" showErrorMessage="1" sqref="O220">
      <formula1>CURRENCIES_LIST</formula1>
    </dataValidation>
    <dataValidation type="list" allowBlank="1" showInputMessage="1" showErrorMessage="1" sqref="O219">
      <formula1>REGIONS_LIST</formula1>
    </dataValidation>
    <dataValidation type="list" showInputMessage="1" showErrorMessage="1" sqref="G336 J336 J16:J17 G16:G17 J36:J37 G62:G65 J95 J99 G88:G90 J79:J83 G72:G75 J21:J22 G21:G22 J156 J41:J42 J26:J29 J46:J49 G36:G37 G46:G49 J62:J65 J72:J75 G79:G83 G41:G42 G99 G95 J106:J107 G106:G107 J111:J114 G111:G114 J118:J121 G118:G121 J125:J126 G125:G126 J133:J134 G133:G134 G138 J138 J142 G142 J146:J149 G146:G149 G156 G26:G29 J88:J90 G53:G58 J53:J58">
      <formula1>YES_NO_LIST</formula1>
    </dataValidation>
    <dataValidation type="list" showInputMessage="1" showErrorMessage="1" sqref="I336 I16:I17 I62:I65 I99 I79:I83 I72:I75 I21:I22 I156 I26:I29 I36:I37 I46:I49 I41:I42 I95 I106:I107 I111:I114 I118:I121 I125:I126 I133:I134 I138 I142 I146:I149 I88:I90 I53:I58">
      <formula1>EXTRAS_LIST</formula1>
    </dataValidation>
    <dataValidation type="list" showInputMessage="1" showErrorMessage="1" sqref="H336 H16:H17 H62:H65 H99 H79:H83 H72:H75 H21:H22 H156 H26:H29 H36:H37 H46:H49 H41:H42 H95 H106:H107 H111:H114 H118:H121 H125:H126 H133:H134 H138 H142 H146:H149 H88:H90 H53:H58">
      <formula1>BUFFER_TYPES_LIST</formula1>
    </dataValidation>
    <dataValidation type="list" showInputMessage="1" showErrorMessage="1" sqref="S166">
      <formula1>"Default, Extended"</formula1>
    </dataValidation>
  </dataValidations>
  <hyperlinks>
    <hyperlink ref="T206" location="Schedule!A1" display="click here."/>
    <hyperlink ref="AB9" location="Help!A1" tooltip="Know what, how and why around most frequently asked questions." display="Read Help for more details."/>
    <hyperlink ref="T9" location="Estimation!U9" tooltip="Copy full WBS content as image" display="Full"/>
    <hyperlink ref="S9" location="Estimation!V9" tooltip="Copy compact view of WBS as image" display="Compact"/>
    <hyperlink ref="C12:E12" location="Estimation!C12" tooltip="Collapse All" display="−"/>
    <hyperlink ref="F12" location="Estimation!F12" tooltip="Expand All" display="Estimation!F12"/>
    <hyperlink ref="C10:F10" location="Estimation!C10" tooltip="Open" display="→"/>
    <hyperlink ref="C11:F11" location="Estimation!C11" tooltip="Close" display="←"/>
    <hyperlink ref="T166" location="Estimation!T71" tooltip="Refresh FBS" display="here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22860</xdr:colOff>
                    <xdr:row>8</xdr:row>
                    <xdr:rowOff>7620</xdr:rowOff>
                  </from>
                  <to>
                    <xdr:col>13</xdr:col>
                    <xdr:colOff>76200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121920</xdr:colOff>
                    <xdr:row>8</xdr:row>
                    <xdr:rowOff>7620</xdr:rowOff>
                  </from>
                  <to>
                    <xdr:col>13</xdr:col>
                    <xdr:colOff>822960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7620</xdr:rowOff>
                  </from>
                  <to>
                    <xdr:col>13</xdr:col>
                    <xdr:colOff>2293620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2331720</xdr:colOff>
                    <xdr:row>8</xdr:row>
                    <xdr:rowOff>7620</xdr:rowOff>
                  </from>
                  <to>
                    <xdr:col>14</xdr:col>
                    <xdr:colOff>190500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7620</xdr:rowOff>
                  </from>
                  <to>
                    <xdr:col>15</xdr:col>
                    <xdr:colOff>7620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861060</xdr:colOff>
                    <xdr:row>8</xdr:row>
                    <xdr:rowOff>7620</xdr:rowOff>
                  </from>
                  <to>
                    <xdr:col>13</xdr:col>
                    <xdr:colOff>1554480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163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L19"/>
  <sheetViews>
    <sheetView zoomScaleNormal="100" workbookViewId="0">
      <selection activeCell="G23" sqref="G23"/>
    </sheetView>
  </sheetViews>
  <sheetFormatPr defaultColWidth="3.88671875" defaultRowHeight="14.4" x14ac:dyDescent="0.3"/>
  <cols>
    <col min="2" max="2" width="38.44140625" customWidth="1"/>
    <col min="3" max="4" width="3.88671875" customWidth="1"/>
  </cols>
  <sheetData>
    <row r="1" spans="2:38" ht="15" customHeight="1" x14ac:dyDescent="0.3">
      <c r="B1" s="70" t="s">
        <v>91</v>
      </c>
      <c r="C1" s="358">
        <f>START_DATE</f>
        <v>43043</v>
      </c>
      <c r="D1" s="358"/>
      <c r="E1" s="358"/>
      <c r="F1" s="358"/>
      <c r="I1" s="1" t="s">
        <v>95</v>
      </c>
      <c r="L1" s="359">
        <v>43409</v>
      </c>
      <c r="M1" s="359"/>
      <c r="N1" s="359"/>
      <c r="O1" s="359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">
      <c r="B3" s="70" t="s">
        <v>93</v>
      </c>
      <c r="C3" s="356">
        <v>1</v>
      </c>
      <c r="D3" s="357"/>
      <c r="E3" s="357"/>
      <c r="F3" s="360"/>
      <c r="G3" s="356">
        <f>C3+1</f>
        <v>2</v>
      </c>
      <c r="H3" s="357"/>
      <c r="I3" s="357"/>
      <c r="J3" s="357"/>
      <c r="K3" s="356">
        <f>G3+1</f>
        <v>3</v>
      </c>
      <c r="L3" s="357"/>
      <c r="M3" s="357"/>
      <c r="N3" s="357"/>
      <c r="O3" s="356">
        <f>K3+1</f>
        <v>4</v>
      </c>
      <c r="P3" s="357"/>
      <c r="Q3" s="357"/>
      <c r="R3" s="357"/>
      <c r="S3" s="356">
        <f>O3+1</f>
        <v>5</v>
      </c>
      <c r="T3" s="357"/>
      <c r="U3" s="357"/>
      <c r="V3" s="357"/>
      <c r="W3" s="356">
        <f>S3+1</f>
        <v>6</v>
      </c>
      <c r="X3" s="357"/>
      <c r="Y3" s="357"/>
      <c r="Z3" s="357"/>
      <c r="AA3" s="356">
        <f>W3+1</f>
        <v>7</v>
      </c>
      <c r="AB3" s="357"/>
      <c r="AC3" s="357"/>
      <c r="AD3" s="357"/>
      <c r="AE3" s="356">
        <f>AA3+1</f>
        <v>8</v>
      </c>
      <c r="AF3" s="357"/>
      <c r="AG3" s="357"/>
      <c r="AH3" s="357"/>
      <c r="AI3" s="356">
        <f>AE3+1</f>
        <v>9</v>
      </c>
      <c r="AJ3" s="357"/>
      <c r="AK3" s="357"/>
      <c r="AL3" s="357"/>
    </row>
    <row r="4" spans="2:38" ht="45.75" customHeight="1" x14ac:dyDescent="0.3">
      <c r="B4" s="71" t="s">
        <v>94</v>
      </c>
      <c r="C4" s="72">
        <f>START_DATE</f>
        <v>43043</v>
      </c>
      <c r="D4" s="73">
        <f>WORKDAY(C4,5)</f>
        <v>43049</v>
      </c>
      <c r="E4" s="73">
        <f t="shared" ref="E4:AK4" si="0">WORKDAY(D4,5)</f>
        <v>43056</v>
      </c>
      <c r="F4" s="74">
        <f t="shared" si="0"/>
        <v>43063</v>
      </c>
      <c r="G4" s="72">
        <f t="shared" si="0"/>
        <v>43070</v>
      </c>
      <c r="H4" s="73">
        <f t="shared" si="0"/>
        <v>43077</v>
      </c>
      <c r="I4" s="73">
        <f t="shared" si="0"/>
        <v>43084</v>
      </c>
      <c r="J4" s="73">
        <f t="shared" si="0"/>
        <v>43091</v>
      </c>
      <c r="K4" s="72">
        <f t="shared" si="0"/>
        <v>43098</v>
      </c>
      <c r="L4" s="73">
        <f t="shared" si="0"/>
        <v>43105</v>
      </c>
      <c r="M4" s="73">
        <f t="shared" si="0"/>
        <v>43112</v>
      </c>
      <c r="N4" s="73">
        <f t="shared" si="0"/>
        <v>43119</v>
      </c>
      <c r="O4" s="72">
        <f t="shared" si="0"/>
        <v>43126</v>
      </c>
      <c r="P4" s="73">
        <f t="shared" si="0"/>
        <v>43133</v>
      </c>
      <c r="Q4" s="73">
        <f t="shared" si="0"/>
        <v>43140</v>
      </c>
      <c r="R4" s="73">
        <f t="shared" si="0"/>
        <v>43147</v>
      </c>
      <c r="S4" s="72">
        <f t="shared" si="0"/>
        <v>43154</v>
      </c>
      <c r="T4" s="73">
        <f t="shared" si="0"/>
        <v>43161</v>
      </c>
      <c r="U4" s="73">
        <f t="shared" si="0"/>
        <v>43168</v>
      </c>
      <c r="V4" s="73">
        <f t="shared" si="0"/>
        <v>43175</v>
      </c>
      <c r="W4" s="72">
        <f t="shared" si="0"/>
        <v>43182</v>
      </c>
      <c r="X4" s="73">
        <f t="shared" si="0"/>
        <v>43189</v>
      </c>
      <c r="Y4" s="73">
        <f t="shared" si="0"/>
        <v>43196</v>
      </c>
      <c r="Z4" s="73">
        <f t="shared" si="0"/>
        <v>43203</v>
      </c>
      <c r="AA4" s="72">
        <f t="shared" si="0"/>
        <v>43210</v>
      </c>
      <c r="AB4" s="73">
        <f t="shared" si="0"/>
        <v>43217</v>
      </c>
      <c r="AC4" s="73">
        <f t="shared" si="0"/>
        <v>43224</v>
      </c>
      <c r="AD4" s="73">
        <f t="shared" si="0"/>
        <v>43231</v>
      </c>
      <c r="AE4" s="72">
        <f t="shared" si="0"/>
        <v>43238</v>
      </c>
      <c r="AF4" s="73">
        <f t="shared" si="0"/>
        <v>43245</v>
      </c>
      <c r="AG4" s="73">
        <f t="shared" si="0"/>
        <v>43252</v>
      </c>
      <c r="AH4" s="73">
        <f t="shared" si="0"/>
        <v>43259</v>
      </c>
      <c r="AI4" s="72">
        <f t="shared" si="0"/>
        <v>43266</v>
      </c>
      <c r="AJ4" s="73">
        <f t="shared" si="0"/>
        <v>43273</v>
      </c>
      <c r="AK4" s="73">
        <f t="shared" si="0"/>
        <v>43280</v>
      </c>
      <c r="AL4" s="73">
        <f>WORKDAY(AK4,5)</f>
        <v>43287</v>
      </c>
    </row>
    <row r="5" spans="2:38" x14ac:dyDescent="0.3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">
      <c r="B6" s="125" t="str">
        <f>Estimation!N197</f>
        <v>Discovery / Requirement Analysis</v>
      </c>
      <c r="C6" s="129"/>
      <c r="D6" s="129"/>
      <c r="E6" s="129"/>
    </row>
    <row r="7" spans="2:38" x14ac:dyDescent="0.3">
      <c r="B7" s="125" t="str">
        <f>Estimation!N198</f>
        <v>System Design, Framework and Test Cases</v>
      </c>
      <c r="E7" s="130"/>
      <c r="F7" s="130"/>
      <c r="G7" s="130"/>
      <c r="H7" s="130"/>
      <c r="I7" s="130"/>
    </row>
    <row r="8" spans="2:38" x14ac:dyDescent="0.3">
      <c r="B8" s="125" t="str">
        <f>Estimation!N199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">
      <c r="B9" s="125" t="str">
        <f>Estimation!N200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">
      <c r="B10" s="125" t="str">
        <f>Estimation!N201</f>
        <v>Deployment, UAT and Documentation</v>
      </c>
      <c r="W10" s="133"/>
      <c r="X10" s="133"/>
      <c r="Y10" s="133"/>
      <c r="Z10" s="133"/>
      <c r="AA10" s="133"/>
    </row>
    <row r="11" spans="2:38" x14ac:dyDescent="0.3">
      <c r="B11" s="125" t="str">
        <f>Estimation!N202</f>
        <v>Others</v>
      </c>
      <c r="AA11" s="99"/>
      <c r="AB11" s="99"/>
    </row>
    <row r="12" spans="2:38" x14ac:dyDescent="0.3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outlinePr summaryBelow="0" summaryRight="0"/>
  </sheetPr>
  <dimension ref="B2:BQ154"/>
  <sheetViews>
    <sheetView showGridLines="0" workbookViewId="0">
      <pane ySplit="2" topLeftCell="A132" activePane="bottomLeft" state="frozenSplit"/>
      <selection pane="bottomLeft" activeCell="AZ120" sqref="AZ120"/>
    </sheetView>
  </sheetViews>
  <sheetFormatPr defaultColWidth="2.88671875" defaultRowHeight="14.4" x14ac:dyDescent="0.3"/>
  <cols>
    <col min="1" max="16384" width="2.88671875" style="172"/>
  </cols>
  <sheetData>
    <row r="2" spans="2:58" ht="28.8" x14ac:dyDescent="0.3">
      <c r="B2" s="171" t="str">
        <f>TEMPLATE_NAME&amp;" "&amp;TEMPLATE_VER&amp;" - HELP"</f>
        <v>AG Estimation Template -  Version 2.0.1 - HELP</v>
      </c>
    </row>
    <row r="4" spans="2:58" x14ac:dyDescent="0.3">
      <c r="B4" s="172" t="s">
        <v>176</v>
      </c>
    </row>
    <row r="5" spans="2:58" x14ac:dyDescent="0.3">
      <c r="B5" s="209" t="s">
        <v>177</v>
      </c>
      <c r="D5" s="172" t="s">
        <v>178</v>
      </c>
    </row>
    <row r="6" spans="2:58" x14ac:dyDescent="0.3">
      <c r="B6" s="209" t="s">
        <v>177</v>
      </c>
      <c r="D6" s="172" t="s">
        <v>179</v>
      </c>
    </row>
    <row r="7" spans="2:58" x14ac:dyDescent="0.3">
      <c r="B7" s="209" t="s">
        <v>177</v>
      </c>
      <c r="D7" s="172" t="s">
        <v>180</v>
      </c>
    </row>
    <row r="8" spans="2:58" x14ac:dyDescent="0.3">
      <c r="B8" s="209" t="s">
        <v>177</v>
      </c>
      <c r="D8" s="172" t="s">
        <v>181</v>
      </c>
    </row>
    <row r="9" spans="2:58" x14ac:dyDescent="0.3">
      <c r="B9" s="209" t="s">
        <v>177</v>
      </c>
      <c r="D9" s="172" t="s">
        <v>182</v>
      </c>
    </row>
    <row r="10" spans="2:58" x14ac:dyDescent="0.3">
      <c r="B10" s="209" t="s">
        <v>177</v>
      </c>
      <c r="D10" s="172" t="s">
        <v>183</v>
      </c>
    </row>
    <row r="11" spans="2:58" x14ac:dyDescent="0.3">
      <c r="B11" s="209" t="s">
        <v>177</v>
      </c>
      <c r="D11" s="172" t="s">
        <v>184</v>
      </c>
    </row>
    <row r="13" spans="2:58" x14ac:dyDescent="0.3">
      <c r="B13" s="362" t="s">
        <v>263</v>
      </c>
      <c r="C13" s="362"/>
      <c r="D13" s="362"/>
      <c r="E13" s="362"/>
      <c r="F13" s="362"/>
      <c r="G13" s="362"/>
      <c r="H13" s="362"/>
      <c r="I13" s="362"/>
      <c r="J13" s="362"/>
      <c r="N13" s="237" t="s">
        <v>424</v>
      </c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41" t="s">
        <v>425</v>
      </c>
      <c r="AW13" s="236"/>
      <c r="AX13" s="237" t="s">
        <v>426</v>
      </c>
      <c r="AY13" s="236"/>
      <c r="AZ13" s="236"/>
      <c r="BA13" s="236"/>
      <c r="BB13" s="236"/>
      <c r="BC13" s="236"/>
      <c r="BD13" s="236"/>
      <c r="BE13" s="236"/>
      <c r="BF13" s="236"/>
    </row>
    <row r="14" spans="2:58" x14ac:dyDescent="0.3">
      <c r="B14" s="362"/>
      <c r="C14" s="362"/>
      <c r="D14" s="362"/>
      <c r="E14" s="362"/>
      <c r="F14" s="362"/>
      <c r="G14" s="362"/>
      <c r="H14" s="362"/>
      <c r="I14" s="362"/>
      <c r="J14" s="362"/>
      <c r="N14" s="237" t="s">
        <v>427</v>
      </c>
      <c r="S14" s="237" t="s">
        <v>428</v>
      </c>
      <c r="AH14" s="241" t="s">
        <v>429</v>
      </c>
    </row>
    <row r="15" spans="2:58" ht="15" customHeight="1" x14ac:dyDescent="0.3">
      <c r="B15" s="238"/>
      <c r="C15" s="238"/>
      <c r="D15" s="238"/>
      <c r="E15" s="238"/>
      <c r="F15" s="238"/>
      <c r="G15" s="238"/>
      <c r="H15" s="238"/>
      <c r="I15" s="238"/>
      <c r="J15" s="238"/>
      <c r="N15" s="239"/>
      <c r="S15" s="239"/>
      <c r="AH15" s="240"/>
    </row>
    <row r="16" spans="2:58" ht="15" customHeight="1" x14ac:dyDescent="0.3">
      <c r="H16" s="361" t="s">
        <v>195</v>
      </c>
      <c r="I16" s="361"/>
      <c r="J16" s="361"/>
      <c r="K16" s="361"/>
      <c r="L16" s="361"/>
      <c r="M16" s="361"/>
      <c r="N16" s="361"/>
      <c r="O16" s="361"/>
      <c r="P16" s="361"/>
      <c r="Q16" s="361"/>
      <c r="R16" s="361"/>
      <c r="S16" s="361"/>
      <c r="T16" s="361"/>
      <c r="U16" s="361"/>
      <c r="V16" s="361"/>
      <c r="AL16" s="361" t="s">
        <v>245</v>
      </c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1"/>
      <c r="BC16" s="361"/>
      <c r="BD16" s="361"/>
    </row>
    <row r="17" spans="2:56" ht="15" customHeight="1" x14ac:dyDescent="0.3">
      <c r="H17" s="361"/>
      <c r="I17" s="361"/>
      <c r="J17" s="361"/>
      <c r="K17" s="361"/>
      <c r="L17" s="361"/>
      <c r="M17" s="361"/>
      <c r="N17" s="361"/>
      <c r="O17" s="361"/>
      <c r="P17" s="361"/>
      <c r="Q17" s="361"/>
      <c r="R17" s="361"/>
      <c r="S17" s="361"/>
      <c r="T17" s="361"/>
      <c r="U17" s="361"/>
      <c r="V17" s="361"/>
      <c r="AL17" s="361"/>
      <c r="AM17" s="361"/>
      <c r="AN17" s="361"/>
      <c r="AO17" s="361"/>
      <c r="AP17" s="361"/>
      <c r="AQ17" s="361"/>
      <c r="AR17" s="361"/>
      <c r="AS17" s="361"/>
      <c r="AT17" s="361"/>
      <c r="AU17" s="361"/>
      <c r="AV17" s="361"/>
      <c r="AW17" s="361"/>
      <c r="AX17" s="361"/>
      <c r="AY17" s="361"/>
      <c r="AZ17" s="361"/>
      <c r="BA17" s="361"/>
      <c r="BB17" s="361"/>
      <c r="BC17" s="361"/>
      <c r="BD17" s="361"/>
    </row>
    <row r="18" spans="2:56" x14ac:dyDescent="0.3">
      <c r="H18" s="172" t="s">
        <v>196</v>
      </c>
      <c r="AL18" s="172" t="s">
        <v>200</v>
      </c>
    </row>
    <row r="19" spans="2:56" x14ac:dyDescent="0.3">
      <c r="H19" s="172" t="s">
        <v>197</v>
      </c>
      <c r="AL19" s="172" t="s">
        <v>201</v>
      </c>
    </row>
    <row r="20" spans="2:56" x14ac:dyDescent="0.3">
      <c r="H20" s="172" t="s">
        <v>198</v>
      </c>
      <c r="AL20" s="172" t="s">
        <v>202</v>
      </c>
    </row>
    <row r="21" spans="2:56" x14ac:dyDescent="0.3">
      <c r="H21" s="172" t="s">
        <v>199</v>
      </c>
    </row>
    <row r="22" spans="2:56" x14ac:dyDescent="0.3">
      <c r="H22" s="172" t="s">
        <v>205</v>
      </c>
      <c r="O22"/>
      <c r="AL22" s="172" t="s">
        <v>203</v>
      </c>
    </row>
    <row r="23" spans="2:56" x14ac:dyDescent="0.3">
      <c r="H23" s="172" t="s">
        <v>206</v>
      </c>
      <c r="AL23" s="172" t="s">
        <v>204</v>
      </c>
    </row>
    <row r="29" spans="2:56" x14ac:dyDescent="0.3">
      <c r="B29" s="361" t="s">
        <v>207</v>
      </c>
      <c r="C29" s="361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</row>
    <row r="30" spans="2:56" x14ac:dyDescent="0.3">
      <c r="B30" s="361"/>
      <c r="C30" s="36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</row>
    <row r="31" spans="2:56" x14ac:dyDescent="0.3">
      <c r="B31" s="172" t="s">
        <v>431</v>
      </c>
    </row>
    <row r="32" spans="2:56" x14ac:dyDescent="0.3">
      <c r="B32" s="172" t="s">
        <v>432</v>
      </c>
    </row>
    <row r="33" spans="2:31" x14ac:dyDescent="0.3">
      <c r="B33" s="172" t="s">
        <v>433</v>
      </c>
    </row>
    <row r="34" spans="2:31" x14ac:dyDescent="0.3">
      <c r="B34" s="172" t="s">
        <v>434</v>
      </c>
    </row>
    <row r="35" spans="2:31" x14ac:dyDescent="0.3">
      <c r="B35" s="172" t="s">
        <v>435</v>
      </c>
    </row>
    <row r="36" spans="2:31" x14ac:dyDescent="0.3">
      <c r="B36" s="172" t="s">
        <v>436</v>
      </c>
    </row>
    <row r="41" spans="2:31" x14ac:dyDescent="0.3">
      <c r="B41" s="361" t="s">
        <v>208</v>
      </c>
      <c r="C41" s="361"/>
      <c r="D41" s="361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</row>
    <row r="42" spans="2:31" x14ac:dyDescent="0.3">
      <c r="B42" s="361"/>
      <c r="C42" s="361"/>
      <c r="D42" s="361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AE42" s="172" t="s">
        <v>214</v>
      </c>
    </row>
    <row r="43" spans="2:31" x14ac:dyDescent="0.3">
      <c r="B43" s="172" t="s">
        <v>210</v>
      </c>
      <c r="AE43" s="172" t="s">
        <v>213</v>
      </c>
    </row>
    <row r="44" spans="2:31" x14ac:dyDescent="0.3">
      <c r="B44" s="172" t="s">
        <v>209</v>
      </c>
      <c r="AE44" s="172" t="s">
        <v>215</v>
      </c>
    </row>
    <row r="46" spans="2:31" x14ac:dyDescent="0.3">
      <c r="B46" s="172" t="s">
        <v>211</v>
      </c>
      <c r="AE46" s="172" t="s">
        <v>216</v>
      </c>
    </row>
    <row r="47" spans="2:31" x14ac:dyDescent="0.3">
      <c r="B47" s="172" t="s">
        <v>212</v>
      </c>
      <c r="AE47" s="172" t="s">
        <v>217</v>
      </c>
    </row>
    <row r="49" spans="2:14" x14ac:dyDescent="0.3">
      <c r="B49" s="361" t="s">
        <v>224</v>
      </c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</row>
    <row r="50" spans="2:14" x14ac:dyDescent="0.3">
      <c r="B50" s="361"/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</row>
    <row r="51" spans="2:14" x14ac:dyDescent="0.3">
      <c r="B51" s="172" t="s">
        <v>218</v>
      </c>
    </row>
    <row r="52" spans="2:14" x14ac:dyDescent="0.3">
      <c r="B52" s="172" t="s">
        <v>219</v>
      </c>
    </row>
    <row r="54" spans="2:14" x14ac:dyDescent="0.3">
      <c r="B54" s="172" t="s">
        <v>220</v>
      </c>
    </row>
    <row r="55" spans="2:14" x14ac:dyDescent="0.3">
      <c r="B55" s="172" t="s">
        <v>221</v>
      </c>
    </row>
    <row r="56" spans="2:14" x14ac:dyDescent="0.3">
      <c r="B56" s="172" t="s">
        <v>222</v>
      </c>
    </row>
    <row r="57" spans="2:14" x14ac:dyDescent="0.3">
      <c r="B57" s="172" t="s">
        <v>223</v>
      </c>
    </row>
    <row r="71" spans="2:16" x14ac:dyDescent="0.3">
      <c r="B71" s="361" t="s">
        <v>225</v>
      </c>
      <c r="C71" s="361"/>
      <c r="D71" s="361"/>
      <c r="E71" s="361"/>
      <c r="F71" s="361"/>
      <c r="G71" s="361"/>
      <c r="H71" s="361"/>
      <c r="I71" s="361"/>
      <c r="J71" s="361"/>
      <c r="K71" s="361"/>
      <c r="L71" s="361"/>
      <c r="M71" s="361"/>
      <c r="N71" s="361"/>
      <c r="O71" s="361"/>
      <c r="P71" s="361"/>
    </row>
    <row r="72" spans="2:16" x14ac:dyDescent="0.3">
      <c r="B72" s="36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</row>
    <row r="73" spans="2:16" x14ac:dyDescent="0.3">
      <c r="B73" s="172" t="s">
        <v>226</v>
      </c>
    </row>
    <row r="74" spans="2:16" x14ac:dyDescent="0.3">
      <c r="B74" s="172" t="s">
        <v>228</v>
      </c>
    </row>
    <row r="75" spans="2:16" x14ac:dyDescent="0.3">
      <c r="B75" s="172" t="s">
        <v>227</v>
      </c>
    </row>
    <row r="79" spans="2:16" x14ac:dyDescent="0.3">
      <c r="B79" s="172" t="s">
        <v>229</v>
      </c>
    </row>
    <row r="80" spans="2:16" x14ac:dyDescent="0.3">
      <c r="B80" s="172" t="s">
        <v>230</v>
      </c>
    </row>
    <row r="83" spans="3:69" ht="15" customHeight="1" x14ac:dyDescent="0.3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">
      <c r="C84" s="361" t="s">
        <v>234</v>
      </c>
      <c r="D84" s="361"/>
      <c r="E84" s="361"/>
      <c r="F84" s="361"/>
      <c r="G84" s="361"/>
      <c r="H84" s="361"/>
      <c r="I84" s="361"/>
      <c r="J84" s="361"/>
      <c r="K84" s="361"/>
      <c r="L84" s="361"/>
      <c r="M84" s="361"/>
      <c r="N84" s="361"/>
      <c r="O84" s="361"/>
      <c r="P84" s="361"/>
      <c r="Q84" s="361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" x14ac:dyDescent="0.3">
      <c r="C85" s="361"/>
      <c r="D85" s="361"/>
      <c r="E85" s="361"/>
      <c r="F85" s="361"/>
      <c r="G85" s="361"/>
      <c r="H85" s="361"/>
      <c r="I85" s="361"/>
      <c r="J85" s="361"/>
      <c r="K85" s="361"/>
      <c r="L85" s="361"/>
      <c r="M85" s="361"/>
      <c r="N85" s="361"/>
      <c r="O85" s="361"/>
      <c r="P85" s="361"/>
      <c r="Q85" s="361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">
      <c r="C87" s="172" t="s">
        <v>236</v>
      </c>
    </row>
    <row r="93" spans="3:69" x14ac:dyDescent="0.3">
      <c r="AE93" s="361" t="s">
        <v>237</v>
      </c>
      <c r="AF93" s="361"/>
      <c r="AG93" s="361"/>
      <c r="AH93" s="361"/>
      <c r="AI93" s="361"/>
      <c r="AJ93" s="361"/>
      <c r="AK93" s="361"/>
      <c r="AL93" s="361"/>
      <c r="AM93" s="361"/>
      <c r="AN93" s="361"/>
      <c r="AO93" s="361"/>
      <c r="AP93" s="361"/>
      <c r="AQ93" s="361"/>
      <c r="AR93" s="361"/>
      <c r="AS93" s="361"/>
      <c r="AT93" s="361"/>
      <c r="AU93" s="361"/>
      <c r="AV93" s="361"/>
      <c r="AW93" s="361"/>
      <c r="AX93" s="361"/>
      <c r="AY93" s="361"/>
    </row>
    <row r="94" spans="3:69" x14ac:dyDescent="0.3">
      <c r="AE94" s="361"/>
      <c r="AF94" s="361"/>
      <c r="AG94" s="361"/>
      <c r="AH94" s="361"/>
      <c r="AI94" s="361"/>
      <c r="AJ94" s="361"/>
      <c r="AK94" s="361"/>
      <c r="AL94" s="361"/>
      <c r="AM94" s="361"/>
      <c r="AN94" s="361"/>
      <c r="AO94" s="361"/>
      <c r="AP94" s="361"/>
      <c r="AQ94" s="361"/>
      <c r="AR94" s="361"/>
      <c r="AS94" s="361"/>
      <c r="AT94" s="361"/>
      <c r="AU94" s="361"/>
      <c r="AV94" s="361"/>
      <c r="AW94" s="361"/>
      <c r="AX94" s="361"/>
      <c r="AY94" s="361"/>
    </row>
    <row r="95" spans="3:69" x14ac:dyDescent="0.3">
      <c r="AE95" s="172" t="s">
        <v>238</v>
      </c>
    </row>
    <row r="96" spans="3:69" ht="15" customHeight="1" x14ac:dyDescent="0.3">
      <c r="AE96" s="172" t="s">
        <v>239</v>
      </c>
    </row>
    <row r="97" spans="3:23" ht="15" customHeight="1" x14ac:dyDescent="0.3"/>
    <row r="104" spans="3:23" x14ac:dyDescent="0.3">
      <c r="C104" s="361" t="s">
        <v>240</v>
      </c>
      <c r="D104" s="361"/>
      <c r="E104" s="361"/>
      <c r="F104" s="361"/>
      <c r="G104" s="361"/>
      <c r="H104" s="361"/>
      <c r="I104" s="361"/>
      <c r="J104" s="361"/>
      <c r="K104" s="361"/>
      <c r="L104" s="361"/>
      <c r="M104" s="361"/>
      <c r="N104" s="361"/>
      <c r="O104" s="361"/>
      <c r="P104" s="361"/>
      <c r="Q104" s="361"/>
      <c r="R104" s="361"/>
      <c r="S104" s="361"/>
      <c r="T104" s="361"/>
      <c r="U104" s="361"/>
      <c r="V104" s="361"/>
      <c r="W104" s="361"/>
    </row>
    <row r="105" spans="3:23" x14ac:dyDescent="0.3">
      <c r="C105" s="361"/>
      <c r="D105" s="361"/>
      <c r="E105" s="361"/>
      <c r="F105" s="361"/>
      <c r="G105" s="361"/>
      <c r="H105" s="361"/>
      <c r="I105" s="361"/>
      <c r="J105" s="361"/>
      <c r="K105" s="361"/>
      <c r="L105" s="361"/>
      <c r="M105" s="361"/>
      <c r="N105" s="361"/>
      <c r="O105" s="361"/>
      <c r="P105" s="361"/>
      <c r="Q105" s="361"/>
      <c r="R105" s="361"/>
      <c r="S105" s="361"/>
      <c r="T105" s="361"/>
      <c r="U105" s="361"/>
      <c r="V105" s="361"/>
      <c r="W105" s="361"/>
    </row>
    <row r="111" spans="3:23" x14ac:dyDescent="0.3">
      <c r="C111" s="172" t="s">
        <v>241</v>
      </c>
    </row>
    <row r="112" spans="3:23" x14ac:dyDescent="0.3">
      <c r="C112" s="172" t="s">
        <v>242</v>
      </c>
    </row>
    <row r="114" spans="3:52" x14ac:dyDescent="0.3">
      <c r="C114" s="172" t="s">
        <v>243</v>
      </c>
      <c r="AF114" s="361" t="s">
        <v>246</v>
      </c>
      <c r="AG114" s="361"/>
      <c r="AH114" s="361"/>
      <c r="AI114" s="361"/>
      <c r="AJ114" s="361"/>
      <c r="AK114" s="361"/>
      <c r="AL114" s="361"/>
      <c r="AM114" s="361"/>
      <c r="AN114" s="361"/>
      <c r="AO114" s="361"/>
      <c r="AP114" s="361"/>
      <c r="AQ114" s="361"/>
      <c r="AR114" s="361"/>
      <c r="AS114" s="361"/>
      <c r="AT114" s="361"/>
      <c r="AU114" s="361"/>
      <c r="AV114" s="361"/>
      <c r="AW114" s="361"/>
      <c r="AX114" s="361"/>
      <c r="AY114" s="361"/>
      <c r="AZ114" s="361"/>
    </row>
    <row r="115" spans="3:52" x14ac:dyDescent="0.3">
      <c r="C115" s="172" t="s">
        <v>244</v>
      </c>
      <c r="AF115" s="361"/>
      <c r="AG115" s="361"/>
      <c r="AH115" s="361"/>
      <c r="AI115" s="361"/>
      <c r="AJ115" s="361"/>
      <c r="AK115" s="361"/>
      <c r="AL115" s="361"/>
      <c r="AM115" s="361"/>
      <c r="AN115" s="361"/>
      <c r="AO115" s="361"/>
      <c r="AP115" s="361"/>
      <c r="AQ115" s="361"/>
      <c r="AR115" s="361"/>
      <c r="AS115" s="361"/>
      <c r="AT115" s="361"/>
      <c r="AU115" s="361"/>
      <c r="AV115" s="361"/>
      <c r="AW115" s="361"/>
      <c r="AX115" s="361"/>
      <c r="AY115" s="361"/>
      <c r="AZ115" s="361"/>
    </row>
    <row r="116" spans="3:52" x14ac:dyDescent="0.3">
      <c r="AF116" s="172" t="s">
        <v>252</v>
      </c>
    </row>
    <row r="117" spans="3:52" x14ac:dyDescent="0.3">
      <c r="AF117" s="172" t="s">
        <v>251</v>
      </c>
    </row>
    <row r="121" spans="3:52" x14ac:dyDescent="0.3">
      <c r="V121" s="361" t="s">
        <v>247</v>
      </c>
      <c r="W121" s="361"/>
      <c r="X121" s="361"/>
      <c r="Y121" s="361"/>
      <c r="Z121" s="361"/>
      <c r="AA121" s="361"/>
      <c r="AB121" s="361"/>
      <c r="AC121" s="361"/>
      <c r="AD121" s="361"/>
      <c r="AE121" s="361"/>
      <c r="AF121" s="361"/>
      <c r="AG121" s="361"/>
      <c r="AH121" s="361"/>
      <c r="AI121" s="361"/>
      <c r="AJ121" s="361"/>
      <c r="AK121" s="361"/>
      <c r="AL121" s="361"/>
      <c r="AM121" s="361"/>
      <c r="AN121" s="361"/>
      <c r="AO121" s="361"/>
      <c r="AP121" s="361"/>
    </row>
    <row r="122" spans="3:52" x14ac:dyDescent="0.3">
      <c r="V122" s="361"/>
      <c r="W122" s="361"/>
      <c r="X122" s="361"/>
      <c r="Y122" s="361"/>
      <c r="Z122" s="361"/>
      <c r="AA122" s="361"/>
      <c r="AB122" s="361"/>
      <c r="AC122" s="361"/>
      <c r="AD122" s="361"/>
      <c r="AE122" s="361"/>
      <c r="AF122" s="361"/>
      <c r="AG122" s="361"/>
      <c r="AH122" s="361"/>
      <c r="AI122" s="361"/>
      <c r="AJ122" s="361"/>
      <c r="AK122" s="361"/>
      <c r="AL122" s="361"/>
      <c r="AM122" s="361"/>
      <c r="AN122" s="361"/>
      <c r="AO122" s="361"/>
      <c r="AP122" s="361"/>
    </row>
    <row r="123" spans="3:52" x14ac:dyDescent="0.3">
      <c r="S123" s="172" t="s">
        <v>248</v>
      </c>
    </row>
    <row r="124" spans="3:52" x14ac:dyDescent="0.3">
      <c r="S124" s="172" t="s">
        <v>249</v>
      </c>
    </row>
    <row r="126" spans="3:52" x14ac:dyDescent="0.3">
      <c r="S126" s="172" t="s">
        <v>250</v>
      </c>
    </row>
    <row r="130" spans="4:26" x14ac:dyDescent="0.3">
      <c r="F130" s="361" t="s">
        <v>253</v>
      </c>
      <c r="G130" s="361"/>
      <c r="H130" s="361"/>
      <c r="I130" s="361"/>
      <c r="J130" s="361"/>
      <c r="K130" s="361"/>
      <c r="L130" s="361"/>
      <c r="M130" s="361"/>
      <c r="N130" s="361"/>
      <c r="O130" s="361"/>
      <c r="P130" s="361"/>
      <c r="Q130" s="361"/>
      <c r="R130" s="361"/>
      <c r="S130" s="361"/>
      <c r="T130" s="361"/>
      <c r="U130" s="361"/>
      <c r="V130" s="361"/>
      <c r="W130" s="361"/>
      <c r="X130" s="361"/>
      <c r="Y130" s="361"/>
      <c r="Z130" s="361"/>
    </row>
    <row r="131" spans="4:26" x14ac:dyDescent="0.3">
      <c r="F131" s="361"/>
      <c r="G131" s="361"/>
      <c r="H131" s="361"/>
      <c r="I131" s="361"/>
      <c r="J131" s="361"/>
      <c r="K131" s="361"/>
      <c r="L131" s="361"/>
      <c r="M131" s="361"/>
      <c r="N131" s="361"/>
      <c r="O131" s="361"/>
      <c r="P131" s="361"/>
      <c r="Q131" s="361"/>
      <c r="R131" s="361"/>
      <c r="S131" s="361"/>
      <c r="T131" s="361"/>
      <c r="U131" s="361"/>
      <c r="V131" s="361"/>
      <c r="W131" s="361"/>
      <c r="X131" s="361"/>
      <c r="Y131" s="361"/>
      <c r="Z131" s="361"/>
    </row>
    <row r="132" spans="4:26" x14ac:dyDescent="0.3">
      <c r="F132" s="172" t="s">
        <v>254</v>
      </c>
    </row>
    <row r="133" spans="4:26" x14ac:dyDescent="0.3">
      <c r="F133" s="172" t="s">
        <v>255</v>
      </c>
    </row>
    <row r="143" spans="4:26" x14ac:dyDescent="0.3">
      <c r="D143" s="361" t="s">
        <v>256</v>
      </c>
      <c r="E143" s="361"/>
      <c r="F143" s="361"/>
      <c r="G143" s="361"/>
      <c r="H143" s="361"/>
      <c r="I143" s="361"/>
      <c r="J143" s="361"/>
      <c r="K143" s="361"/>
      <c r="L143" s="361"/>
      <c r="M143" s="361"/>
      <c r="N143" s="361"/>
      <c r="O143" s="361"/>
      <c r="P143" s="361"/>
      <c r="Q143" s="361"/>
      <c r="R143" s="361"/>
      <c r="S143" s="361"/>
      <c r="T143" s="361"/>
      <c r="U143" s="361"/>
      <c r="V143" s="361"/>
      <c r="W143" s="361"/>
      <c r="X143" s="361"/>
    </row>
    <row r="144" spans="4:26" x14ac:dyDescent="0.3">
      <c r="D144" s="361"/>
      <c r="E144" s="361"/>
      <c r="F144" s="361"/>
      <c r="G144" s="361"/>
      <c r="H144" s="361"/>
      <c r="I144" s="361"/>
      <c r="J144" s="361"/>
      <c r="K144" s="361"/>
      <c r="L144" s="361"/>
      <c r="M144" s="361"/>
      <c r="N144" s="361"/>
      <c r="O144" s="361"/>
      <c r="P144" s="361"/>
      <c r="Q144" s="361"/>
      <c r="R144" s="361"/>
      <c r="S144" s="361"/>
      <c r="T144" s="361"/>
      <c r="U144" s="361"/>
      <c r="V144" s="361"/>
      <c r="W144" s="361"/>
      <c r="X144" s="361"/>
    </row>
    <row r="145" spans="4:24" x14ac:dyDescent="0.3">
      <c r="D145" s="172" t="s">
        <v>257</v>
      </c>
    </row>
    <row r="146" spans="4:24" x14ac:dyDescent="0.3">
      <c r="D146" s="172" t="s">
        <v>258</v>
      </c>
    </row>
    <row r="148" spans="4:24" x14ac:dyDescent="0.3">
      <c r="D148" s="172" t="s">
        <v>259</v>
      </c>
    </row>
    <row r="149" spans="4:24" x14ac:dyDescent="0.3">
      <c r="D149" s="172" t="s">
        <v>260</v>
      </c>
    </row>
    <row r="152" spans="4:24" x14ac:dyDescent="0.3">
      <c r="D152" s="361" t="s">
        <v>261</v>
      </c>
      <c r="E152" s="361"/>
      <c r="F152" s="361"/>
      <c r="G152" s="361"/>
      <c r="H152" s="361"/>
      <c r="I152" s="361"/>
      <c r="J152" s="361"/>
      <c r="K152" s="361"/>
      <c r="L152" s="361"/>
      <c r="M152" s="361"/>
      <c r="N152" s="361"/>
      <c r="O152" s="361"/>
      <c r="P152" s="361"/>
      <c r="Q152" s="361"/>
      <c r="R152" s="361"/>
      <c r="S152" s="361"/>
      <c r="T152" s="361"/>
      <c r="U152" s="361"/>
      <c r="V152" s="361"/>
      <c r="W152" s="361"/>
      <c r="X152" s="361"/>
    </row>
    <row r="153" spans="4:24" x14ac:dyDescent="0.3">
      <c r="D153" s="361"/>
      <c r="E153" s="361"/>
      <c r="F153" s="361"/>
      <c r="G153" s="361"/>
      <c r="H153" s="361"/>
      <c r="I153" s="361"/>
      <c r="J153" s="361"/>
      <c r="K153" s="361"/>
      <c r="L153" s="361"/>
      <c r="M153" s="361"/>
      <c r="N153" s="361"/>
      <c r="O153" s="361"/>
      <c r="P153" s="361"/>
      <c r="Q153" s="361"/>
      <c r="R153" s="361"/>
      <c r="S153" s="361"/>
      <c r="T153" s="361"/>
      <c r="U153" s="361"/>
      <c r="V153" s="361"/>
      <c r="W153" s="361"/>
      <c r="X153" s="361"/>
    </row>
    <row r="154" spans="4:24" x14ac:dyDescent="0.3">
      <c r="G154" s="172" t="s">
        <v>262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/>
    <hyperlink ref="AH14" r:id="rId1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E27" sqref="E27"/>
    </sheetView>
  </sheetViews>
  <sheetFormatPr defaultColWidth="3.88671875" defaultRowHeight="14.4" x14ac:dyDescent="0.3"/>
  <cols>
    <col min="1" max="1" width="2.88671875" customWidth="1"/>
    <col min="2" max="2" width="4.44140625" bestFit="1" customWidth="1"/>
  </cols>
  <sheetData>
    <row r="2" spans="2:4" ht="28.8" x14ac:dyDescent="0.3">
      <c r="B2" s="171" t="str">
        <f>TEMPLATE_NAME&amp;" "&amp;TEMPLATE_VER&amp;" - FAQs"</f>
        <v>AG Estimation Template -  Version 2.0.1 - FAQs</v>
      </c>
    </row>
    <row r="4" spans="2:4" ht="18" x14ac:dyDescent="0.35">
      <c r="B4" s="234" t="s">
        <v>409</v>
      </c>
    </row>
    <row r="6" spans="2:4" s="230" customFormat="1" ht="21" x14ac:dyDescent="0.4">
      <c r="B6" s="229">
        <v>1</v>
      </c>
      <c r="C6" s="229" t="s">
        <v>421</v>
      </c>
    </row>
    <row r="7" spans="2:4" x14ac:dyDescent="0.3">
      <c r="D7" t="s">
        <v>422</v>
      </c>
    </row>
    <row r="8" spans="2:4" x14ac:dyDescent="0.3">
      <c r="D8" t="s">
        <v>423</v>
      </c>
    </row>
    <row r="10" spans="2:4" s="230" customFormat="1" ht="21" x14ac:dyDescent="0.4">
      <c r="B10" s="229">
        <v>2</v>
      </c>
      <c r="C10" s="229" t="s">
        <v>264</v>
      </c>
    </row>
    <row r="11" spans="2:4" x14ac:dyDescent="0.3">
      <c r="D11" t="s">
        <v>437</v>
      </c>
    </row>
    <row r="12" spans="2:4" x14ac:dyDescent="0.3">
      <c r="D12" t="s">
        <v>438</v>
      </c>
    </row>
    <row r="14" spans="2:4" s="230" customFormat="1" ht="21" x14ac:dyDescent="0.4">
      <c r="B14" s="229">
        <v>3</v>
      </c>
      <c r="C14" s="229" t="s">
        <v>265</v>
      </c>
    </row>
    <row r="15" spans="2:4" x14ac:dyDescent="0.3">
      <c r="D15" t="s">
        <v>439</v>
      </c>
    </row>
    <row r="17" spans="2:4" s="230" customFormat="1" ht="21" x14ac:dyDescent="0.4">
      <c r="B17" s="229">
        <v>4</v>
      </c>
      <c r="C17" s="229" t="s">
        <v>266</v>
      </c>
    </row>
    <row r="18" spans="2:4" x14ac:dyDescent="0.3">
      <c r="D18" t="s">
        <v>267</v>
      </c>
    </row>
    <row r="19" spans="2:4" x14ac:dyDescent="0.3">
      <c r="D19" t="s">
        <v>268</v>
      </c>
    </row>
    <row r="20" spans="2:4" x14ac:dyDescent="0.3">
      <c r="D20" t="s">
        <v>269</v>
      </c>
    </row>
    <row r="22" spans="2:4" s="230" customFormat="1" ht="21" x14ac:dyDescent="0.4">
      <c r="B22" s="229">
        <v>5</v>
      </c>
      <c r="C22" s="229" t="s">
        <v>270</v>
      </c>
    </row>
    <row r="23" spans="2:4" x14ac:dyDescent="0.3">
      <c r="D23" t="s">
        <v>271</v>
      </c>
    </row>
    <row r="24" spans="2:4" x14ac:dyDescent="0.3">
      <c r="D24" t="s">
        <v>440</v>
      </c>
    </row>
    <row r="25" spans="2:4" x14ac:dyDescent="0.3">
      <c r="D25" t="s">
        <v>272</v>
      </c>
    </row>
    <row r="27" spans="2:4" s="230" customFormat="1" ht="21" x14ac:dyDescent="0.4">
      <c r="B27" s="229">
        <v>6</v>
      </c>
      <c r="C27" s="229" t="s">
        <v>273</v>
      </c>
    </row>
    <row r="28" spans="2:4" x14ac:dyDescent="0.3">
      <c r="D28" t="s">
        <v>274</v>
      </c>
    </row>
    <row r="30" spans="2:4" s="230" customFormat="1" ht="21" x14ac:dyDescent="0.4">
      <c r="B30" s="229">
        <v>7</v>
      </c>
      <c r="C30" s="229" t="s">
        <v>277</v>
      </c>
    </row>
    <row r="31" spans="2:4" x14ac:dyDescent="0.3">
      <c r="D31" t="s">
        <v>278</v>
      </c>
    </row>
    <row r="33" spans="2:9" s="230" customFormat="1" ht="21" x14ac:dyDescent="0.4">
      <c r="B33" s="229">
        <v>8</v>
      </c>
      <c r="C33" s="229" t="s">
        <v>282</v>
      </c>
    </row>
    <row r="34" spans="2:9" x14ac:dyDescent="0.3">
      <c r="D34" t="s">
        <v>283</v>
      </c>
    </row>
    <row r="35" spans="2:9" x14ac:dyDescent="0.3">
      <c r="D35" t="s">
        <v>284</v>
      </c>
    </row>
    <row r="37" spans="2:9" s="230" customFormat="1" ht="21" x14ac:dyDescent="0.4">
      <c r="B37" s="229">
        <v>9</v>
      </c>
      <c r="C37" s="229" t="s">
        <v>279</v>
      </c>
    </row>
    <row r="38" spans="2:9" x14ac:dyDescent="0.3">
      <c r="D38" t="s">
        <v>280</v>
      </c>
    </row>
    <row r="39" spans="2:9" x14ac:dyDescent="0.3">
      <c r="F39" s="221" t="s">
        <v>281</v>
      </c>
      <c r="G39" t="s">
        <v>286</v>
      </c>
    </row>
    <row r="40" spans="2:9" x14ac:dyDescent="0.3">
      <c r="F40" s="221" t="s">
        <v>285</v>
      </c>
      <c r="G40" t="s">
        <v>287</v>
      </c>
    </row>
    <row r="41" spans="2:9" x14ac:dyDescent="0.3">
      <c r="F41" s="221" t="s">
        <v>288</v>
      </c>
      <c r="G41" t="s">
        <v>289</v>
      </c>
    </row>
    <row r="42" spans="2:9" x14ac:dyDescent="0.3">
      <c r="F42" s="221" t="s">
        <v>290</v>
      </c>
      <c r="G42" t="s">
        <v>291</v>
      </c>
    </row>
    <row r="43" spans="2:9" x14ac:dyDescent="0.3">
      <c r="G43" s="221" t="s">
        <v>292</v>
      </c>
      <c r="H43" t="s">
        <v>294</v>
      </c>
    </row>
    <row r="44" spans="2:9" x14ac:dyDescent="0.3">
      <c r="G44" s="221" t="s">
        <v>293</v>
      </c>
      <c r="H44" t="s">
        <v>295</v>
      </c>
    </row>
    <row r="45" spans="2:9" x14ac:dyDescent="0.3">
      <c r="G45" s="1" t="s">
        <v>296</v>
      </c>
      <c r="H45" t="s">
        <v>297</v>
      </c>
    </row>
    <row r="46" spans="2:9" x14ac:dyDescent="0.3">
      <c r="I46" t="s">
        <v>298</v>
      </c>
    </row>
    <row r="47" spans="2:9" x14ac:dyDescent="0.3">
      <c r="G47" s="221" t="s">
        <v>299</v>
      </c>
      <c r="H47" t="s">
        <v>300</v>
      </c>
    </row>
    <row r="48" spans="2:9" x14ac:dyDescent="0.3">
      <c r="I48" t="s">
        <v>301</v>
      </c>
    </row>
    <row r="49" spans="2:20" x14ac:dyDescent="0.3">
      <c r="G49" s="221" t="s">
        <v>302</v>
      </c>
      <c r="H49" t="s">
        <v>303</v>
      </c>
    </row>
    <row r="50" spans="2:20" x14ac:dyDescent="0.3">
      <c r="D50" s="363" t="s">
        <v>446</v>
      </c>
      <c r="E50" s="363"/>
      <c r="F50" s="363"/>
      <c r="G50" s="363"/>
      <c r="H50" t="s">
        <v>447</v>
      </c>
    </row>
    <row r="51" spans="2:20" x14ac:dyDescent="0.3">
      <c r="D51" s="363"/>
      <c r="E51" s="363"/>
      <c r="F51" s="363"/>
      <c r="G51" s="363"/>
    </row>
    <row r="52" spans="2:20" x14ac:dyDescent="0.3">
      <c r="D52" s="363"/>
      <c r="E52" s="363"/>
      <c r="F52" s="363"/>
      <c r="G52" s="363"/>
    </row>
    <row r="54" spans="2:20" s="230" customFormat="1" ht="21" x14ac:dyDescent="0.4">
      <c r="B54" s="229">
        <v>10</v>
      </c>
      <c r="C54" s="229" t="s">
        <v>304</v>
      </c>
    </row>
    <row r="55" spans="2:20" x14ac:dyDescent="0.3">
      <c r="D55" t="s">
        <v>305</v>
      </c>
    </row>
    <row r="56" spans="2:20" x14ac:dyDescent="0.3">
      <c r="D56" t="s">
        <v>306</v>
      </c>
    </row>
    <row r="57" spans="2:20" x14ac:dyDescent="0.3">
      <c r="F57" s="221" t="s">
        <v>307</v>
      </c>
      <c r="G57" t="s">
        <v>308</v>
      </c>
    </row>
    <row r="58" spans="2:20" x14ac:dyDescent="0.3">
      <c r="H58" t="s">
        <v>309</v>
      </c>
    </row>
    <row r="59" spans="2:20" x14ac:dyDescent="0.3">
      <c r="I59" t="s">
        <v>311</v>
      </c>
      <c r="N59" t="s">
        <v>310</v>
      </c>
    </row>
    <row r="60" spans="2:20" x14ac:dyDescent="0.3">
      <c r="I60" t="s">
        <v>312</v>
      </c>
      <c r="N60" t="s">
        <v>313</v>
      </c>
      <c r="T60" t="s">
        <v>321</v>
      </c>
    </row>
    <row r="61" spans="2:20" x14ac:dyDescent="0.3">
      <c r="I61" t="s">
        <v>314</v>
      </c>
      <c r="N61" t="s">
        <v>315</v>
      </c>
      <c r="T61" t="s">
        <v>321</v>
      </c>
    </row>
    <row r="62" spans="2:20" x14ac:dyDescent="0.3">
      <c r="N62" t="s">
        <v>316</v>
      </c>
    </row>
    <row r="63" spans="2:20" x14ac:dyDescent="0.3">
      <c r="F63" s="221" t="s">
        <v>317</v>
      </c>
      <c r="G63" t="s">
        <v>318</v>
      </c>
    </row>
    <row r="64" spans="2:20" x14ac:dyDescent="0.3">
      <c r="F64" s="221" t="s">
        <v>322</v>
      </c>
      <c r="G64" t="s">
        <v>323</v>
      </c>
    </row>
    <row r="65" spans="2:30" x14ac:dyDescent="0.3">
      <c r="H65" t="s">
        <v>324</v>
      </c>
    </row>
    <row r="66" spans="2:30" x14ac:dyDescent="0.3">
      <c r="I66" t="s">
        <v>325</v>
      </c>
    </row>
    <row r="67" spans="2:30" x14ac:dyDescent="0.3">
      <c r="G67" t="s">
        <v>326</v>
      </c>
    </row>
    <row r="68" spans="2:30" x14ac:dyDescent="0.3">
      <c r="F68" s="221" t="s">
        <v>319</v>
      </c>
      <c r="G68" t="s">
        <v>320</v>
      </c>
      <c r="AD68" t="s">
        <v>321</v>
      </c>
    </row>
    <row r="69" spans="2:30" x14ac:dyDescent="0.3">
      <c r="H69" t="s">
        <v>342</v>
      </c>
    </row>
    <row r="71" spans="2:30" s="230" customFormat="1" ht="21" x14ac:dyDescent="0.4">
      <c r="B71" s="229">
        <v>11</v>
      </c>
      <c r="C71" s="229" t="s">
        <v>327</v>
      </c>
    </row>
    <row r="72" spans="2:30" x14ac:dyDescent="0.3">
      <c r="D72" t="s">
        <v>328</v>
      </c>
    </row>
    <row r="73" spans="2:30" x14ac:dyDescent="0.3">
      <c r="D73" t="s">
        <v>329</v>
      </c>
    </row>
    <row r="74" spans="2:30" x14ac:dyDescent="0.3">
      <c r="D74" t="s">
        <v>330</v>
      </c>
    </row>
    <row r="76" spans="2:30" s="230" customFormat="1" ht="21" x14ac:dyDescent="0.4">
      <c r="B76" s="229">
        <v>12</v>
      </c>
      <c r="C76" s="229" t="s">
        <v>331</v>
      </c>
    </row>
    <row r="77" spans="2:30" x14ac:dyDescent="0.3">
      <c r="D77" t="s">
        <v>332</v>
      </c>
    </row>
    <row r="78" spans="2:30" x14ac:dyDescent="0.3">
      <c r="D78" t="s">
        <v>333</v>
      </c>
    </row>
    <row r="79" spans="2:30" x14ac:dyDescent="0.3">
      <c r="E79" s="221" t="s">
        <v>334</v>
      </c>
      <c r="F79" t="s">
        <v>338</v>
      </c>
    </row>
    <row r="80" spans="2:30" x14ac:dyDescent="0.3">
      <c r="G80" t="s">
        <v>344</v>
      </c>
    </row>
    <row r="81" spans="2:7" x14ac:dyDescent="0.3">
      <c r="G81" t="s">
        <v>339</v>
      </c>
    </row>
    <row r="82" spans="2:7" x14ac:dyDescent="0.3">
      <c r="E82" s="221" t="s">
        <v>340</v>
      </c>
      <c r="F82" t="s">
        <v>341</v>
      </c>
    </row>
    <row r="83" spans="2:7" x14ac:dyDescent="0.3">
      <c r="G83" t="s">
        <v>343</v>
      </c>
    </row>
    <row r="85" spans="2:7" s="230" customFormat="1" ht="21" x14ac:dyDescent="0.4">
      <c r="B85" s="229">
        <v>13</v>
      </c>
      <c r="C85" s="229" t="s">
        <v>345</v>
      </c>
    </row>
    <row r="86" spans="2:7" x14ac:dyDescent="0.3">
      <c r="D86" t="s">
        <v>346</v>
      </c>
    </row>
    <row r="87" spans="2:7" x14ac:dyDescent="0.3">
      <c r="E87" s="221" t="s">
        <v>347</v>
      </c>
      <c r="F87" t="s">
        <v>350</v>
      </c>
    </row>
    <row r="88" spans="2:7" x14ac:dyDescent="0.3">
      <c r="E88" s="221"/>
      <c r="F88" t="s">
        <v>351</v>
      </c>
    </row>
    <row r="89" spans="2:7" x14ac:dyDescent="0.3">
      <c r="E89" s="221"/>
      <c r="F89" t="s">
        <v>352</v>
      </c>
    </row>
    <row r="90" spans="2:7" x14ac:dyDescent="0.3">
      <c r="E90" s="221"/>
      <c r="F90" t="s">
        <v>353</v>
      </c>
    </row>
    <row r="91" spans="2:7" x14ac:dyDescent="0.3">
      <c r="E91" s="221"/>
      <c r="F91" t="s">
        <v>354</v>
      </c>
    </row>
    <row r="92" spans="2:7" x14ac:dyDescent="0.3">
      <c r="E92" s="221" t="s">
        <v>348</v>
      </c>
      <c r="F92" t="s">
        <v>355</v>
      </c>
    </row>
    <row r="93" spans="2:7" x14ac:dyDescent="0.3">
      <c r="E93" s="221"/>
      <c r="F93" t="s">
        <v>356</v>
      </c>
    </row>
    <row r="94" spans="2:7" x14ac:dyDescent="0.3">
      <c r="E94" s="221" t="s">
        <v>349</v>
      </c>
      <c r="F94" t="s">
        <v>357</v>
      </c>
    </row>
    <row r="96" spans="2:7" s="230" customFormat="1" ht="21" x14ac:dyDescent="0.4">
      <c r="B96" s="229">
        <v>14</v>
      </c>
      <c r="C96" s="229" t="s">
        <v>417</v>
      </c>
    </row>
    <row r="97" spans="2:6" x14ac:dyDescent="0.3">
      <c r="D97" t="s">
        <v>358</v>
      </c>
    </row>
    <row r="98" spans="2:6" x14ac:dyDescent="0.3">
      <c r="E98" s="221" t="s">
        <v>359</v>
      </c>
      <c r="F98" t="s">
        <v>366</v>
      </c>
    </row>
    <row r="99" spans="2:6" x14ac:dyDescent="0.3">
      <c r="E99" s="221" t="s">
        <v>360</v>
      </c>
      <c r="F99" t="s">
        <v>367</v>
      </c>
    </row>
    <row r="100" spans="2:6" x14ac:dyDescent="0.3">
      <c r="E100" s="221" t="s">
        <v>361</v>
      </c>
      <c r="F100" t="s">
        <v>365</v>
      </c>
    </row>
    <row r="101" spans="2:6" x14ac:dyDescent="0.3">
      <c r="E101" s="221" t="s">
        <v>362</v>
      </c>
      <c r="F101" t="s">
        <v>364</v>
      </c>
    </row>
    <row r="102" spans="2:6" x14ac:dyDescent="0.3">
      <c r="E102" s="221" t="s">
        <v>363</v>
      </c>
      <c r="F102" t="s">
        <v>368</v>
      </c>
    </row>
    <row r="104" spans="2:6" s="230" customFormat="1" ht="21" x14ac:dyDescent="0.4">
      <c r="B104" s="229">
        <v>15</v>
      </c>
      <c r="C104" s="229" t="s">
        <v>335</v>
      </c>
    </row>
    <row r="105" spans="2:6" x14ac:dyDescent="0.3">
      <c r="D105" t="s">
        <v>336</v>
      </c>
    </row>
    <row r="106" spans="2:6" x14ac:dyDescent="0.3">
      <c r="D106" t="s">
        <v>337</v>
      </c>
    </row>
    <row r="108" spans="2:6" s="230" customFormat="1" ht="21" x14ac:dyDescent="0.4">
      <c r="B108" s="229">
        <v>16</v>
      </c>
      <c r="C108" s="229" t="s">
        <v>369</v>
      </c>
    </row>
    <row r="109" spans="2:6" x14ac:dyDescent="0.3">
      <c r="D109" t="s">
        <v>370</v>
      </c>
    </row>
    <row r="110" spans="2:6" x14ac:dyDescent="0.3">
      <c r="D110" t="s">
        <v>371</v>
      </c>
    </row>
    <row r="111" spans="2:6" x14ac:dyDescent="0.3">
      <c r="D111" t="s">
        <v>372</v>
      </c>
    </row>
    <row r="114" spans="2:6" ht="18" x14ac:dyDescent="0.35">
      <c r="B114" s="234" t="s">
        <v>410</v>
      </c>
    </row>
    <row r="116" spans="2:6" s="230" customFormat="1" ht="21" x14ac:dyDescent="0.4">
      <c r="B116" s="228">
        <v>17</v>
      </c>
      <c r="C116" s="228" t="s">
        <v>389</v>
      </c>
    </row>
    <row r="117" spans="2:6" x14ac:dyDescent="0.3">
      <c r="D117" t="s">
        <v>396</v>
      </c>
    </row>
    <row r="118" spans="2:6" x14ac:dyDescent="0.3">
      <c r="E118" t="s">
        <v>397</v>
      </c>
    </row>
    <row r="119" spans="2:6" x14ac:dyDescent="0.3">
      <c r="E119" t="s">
        <v>398</v>
      </c>
    </row>
    <row r="120" spans="2:6" x14ac:dyDescent="0.3">
      <c r="E120" t="s">
        <v>400</v>
      </c>
    </row>
    <row r="121" spans="2:6" s="232" customFormat="1" x14ac:dyDescent="0.3">
      <c r="F121" s="233" t="s">
        <v>399</v>
      </c>
    </row>
    <row r="122" spans="2:6" s="232" customFormat="1" x14ac:dyDescent="0.3">
      <c r="F122" s="233"/>
    </row>
    <row r="123" spans="2:6" s="232" customFormat="1" x14ac:dyDescent="0.3">
      <c r="E123" s="233" t="s">
        <v>401</v>
      </c>
      <c r="F123" s="233"/>
    </row>
    <row r="124" spans="2:6" s="232" customFormat="1" x14ac:dyDescent="0.3">
      <c r="F124" s="233" t="s">
        <v>402</v>
      </c>
    </row>
    <row r="125" spans="2:6" s="232" customFormat="1" x14ac:dyDescent="0.3">
      <c r="F125" s="233" t="s">
        <v>403</v>
      </c>
    </row>
    <row r="126" spans="2:6" x14ac:dyDescent="0.3">
      <c r="F126" s="233" t="s">
        <v>404</v>
      </c>
    </row>
    <row r="127" spans="2:6" x14ac:dyDescent="0.3">
      <c r="F127" s="233"/>
    </row>
    <row r="128" spans="2:6" s="230" customFormat="1" ht="21" x14ac:dyDescent="0.4">
      <c r="B128" s="228">
        <v>18</v>
      </c>
      <c r="C128" s="228" t="s">
        <v>390</v>
      </c>
    </row>
    <row r="129" spans="2:4" x14ac:dyDescent="0.3">
      <c r="D129" t="s">
        <v>405</v>
      </c>
    </row>
    <row r="130" spans="2:4" x14ac:dyDescent="0.3">
      <c r="D130" t="s">
        <v>406</v>
      </c>
    </row>
    <row r="131" spans="2:4" x14ac:dyDescent="0.3">
      <c r="D131" t="s">
        <v>407</v>
      </c>
    </row>
    <row r="132" spans="2:4" x14ac:dyDescent="0.3">
      <c r="D132" t="s">
        <v>408</v>
      </c>
    </row>
    <row r="134" spans="2:4" s="230" customFormat="1" ht="21" x14ac:dyDescent="0.4">
      <c r="B134" s="228">
        <v>19</v>
      </c>
      <c r="C134" s="228" t="s">
        <v>392</v>
      </c>
    </row>
    <row r="135" spans="2:4" x14ac:dyDescent="0.3">
      <c r="D135" t="s">
        <v>393</v>
      </c>
    </row>
    <row r="137" spans="2:4" s="230" customFormat="1" ht="21" x14ac:dyDescent="0.4">
      <c r="B137" s="228">
        <v>20</v>
      </c>
      <c r="C137" s="228" t="s">
        <v>394</v>
      </c>
    </row>
    <row r="138" spans="2:4" x14ac:dyDescent="0.3">
      <c r="D138" t="s">
        <v>395</v>
      </c>
    </row>
    <row r="140" spans="2:4" s="230" customFormat="1" ht="21" x14ac:dyDescent="0.4">
      <c r="B140" s="228">
        <v>21</v>
      </c>
      <c r="C140" s="228" t="s">
        <v>379</v>
      </c>
    </row>
    <row r="141" spans="2:4" x14ac:dyDescent="0.3">
      <c r="D141" t="s">
        <v>373</v>
      </c>
    </row>
    <row r="142" spans="2:4" x14ac:dyDescent="0.3">
      <c r="D142" t="s">
        <v>374</v>
      </c>
    </row>
    <row r="144" spans="2:4" s="230" customFormat="1" ht="21" x14ac:dyDescent="0.4">
      <c r="B144" s="228">
        <v>22</v>
      </c>
      <c r="C144" s="228" t="s">
        <v>380</v>
      </c>
    </row>
    <row r="145" spans="2:4" x14ac:dyDescent="0.3">
      <c r="D145" t="s">
        <v>375</v>
      </c>
    </row>
    <row r="146" spans="2:4" x14ac:dyDescent="0.3">
      <c r="D146" t="s">
        <v>376</v>
      </c>
    </row>
    <row r="147" spans="2:4" x14ac:dyDescent="0.3">
      <c r="D147" t="s">
        <v>377</v>
      </c>
    </row>
    <row r="148" spans="2:4" x14ac:dyDescent="0.3">
      <c r="D148" t="s">
        <v>378</v>
      </c>
    </row>
    <row r="151" spans="2:4" ht="18" x14ac:dyDescent="0.35">
      <c r="B151" s="234" t="s">
        <v>411</v>
      </c>
    </row>
    <row r="153" spans="2:4" s="230" customFormat="1" ht="21" x14ac:dyDescent="0.4">
      <c r="B153" s="231">
        <v>23</v>
      </c>
      <c r="C153" s="231" t="s">
        <v>420</v>
      </c>
    </row>
    <row r="154" spans="2:4" x14ac:dyDescent="0.3">
      <c r="D154" t="s">
        <v>381</v>
      </c>
    </row>
    <row r="155" spans="2:4" x14ac:dyDescent="0.3">
      <c r="D155" t="s">
        <v>382</v>
      </c>
    </row>
    <row r="156" spans="2:4" x14ac:dyDescent="0.3">
      <c r="D156" t="s">
        <v>383</v>
      </c>
    </row>
    <row r="157" spans="2:4" x14ac:dyDescent="0.3">
      <c r="D157" t="s">
        <v>384</v>
      </c>
    </row>
    <row r="159" spans="2:4" s="230" customFormat="1" ht="21" x14ac:dyDescent="0.4">
      <c r="B159" s="231">
        <v>24</v>
      </c>
      <c r="C159" s="231" t="s">
        <v>418</v>
      </c>
    </row>
    <row r="160" spans="2:4" x14ac:dyDescent="0.3">
      <c r="D160" t="s">
        <v>412</v>
      </c>
    </row>
    <row r="161" spans="2:4" x14ac:dyDescent="0.3">
      <c r="D161" t="s">
        <v>413</v>
      </c>
    </row>
    <row r="162" spans="2:4" x14ac:dyDescent="0.3">
      <c r="D162" t="s">
        <v>414</v>
      </c>
    </row>
    <row r="163" spans="2:4" x14ac:dyDescent="0.3">
      <c r="D163" t="s">
        <v>415</v>
      </c>
    </row>
    <row r="165" spans="2:4" s="230" customFormat="1" ht="21" x14ac:dyDescent="0.4">
      <c r="B165" s="231">
        <v>25</v>
      </c>
      <c r="C165" s="231" t="s">
        <v>385</v>
      </c>
    </row>
    <row r="166" spans="2:4" x14ac:dyDescent="0.3">
      <c r="D166" t="s">
        <v>386</v>
      </c>
    </row>
    <row r="167" spans="2:4" x14ac:dyDescent="0.3">
      <c r="D167" t="s">
        <v>387</v>
      </c>
    </row>
    <row r="168" spans="2:4" x14ac:dyDescent="0.3">
      <c r="D168" t="s">
        <v>388</v>
      </c>
    </row>
    <row r="172" spans="2:4" ht="18" x14ac:dyDescent="0.35">
      <c r="B172" s="234" t="s">
        <v>416</v>
      </c>
    </row>
    <row r="174" spans="2:4" s="230" customFormat="1" ht="21" x14ac:dyDescent="0.4">
      <c r="B174" s="227">
        <v>26</v>
      </c>
      <c r="C174" s="227" t="s">
        <v>419</v>
      </c>
    </row>
    <row r="175" spans="2:4" x14ac:dyDescent="0.3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Architecture Group</dc:creator>
  <cp:lastModifiedBy>Isha Gupta</cp:lastModifiedBy>
  <cp:lastPrinted>2015-06-17T10:58:29Z</cp:lastPrinted>
  <dcterms:created xsi:type="dcterms:W3CDTF">2013-10-21T05:49:27Z</dcterms:created>
  <dcterms:modified xsi:type="dcterms:W3CDTF">2017-05-19T06:53:00Z</dcterms:modified>
</cp:coreProperties>
</file>